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U:\Erith\Hailey Road\Exports, Goods-Out\Templates\Air Business\"/>
    </mc:Choice>
  </mc:AlternateContent>
  <xr:revisionPtr revIDLastSave="0" documentId="13_ncr:1_{29DA4734-30EB-4E78-B672-6408F43643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reland Mail" sheetId="27" r:id="rId1"/>
  </sheets>
  <definedNames>
    <definedName name="_xlnm._FilterDatabase" localSheetId="0" hidden="1">'Ireland Mail'!$D$73:$R$109</definedName>
    <definedName name="ClassOfService" localSheetId="0">'Ireland Mail'!$D$10</definedName>
    <definedName name="ClassOfService">#REF!</definedName>
    <definedName name="CustomerAccount" localSheetId="0">'Ireland Mail'!$D$4</definedName>
    <definedName name="CustomerAccount">#REF!</definedName>
    <definedName name="EffectiveDate" localSheetId="0">'Ireland Mail'!$D$6</definedName>
    <definedName name="EffectiveDate">#REF!</definedName>
    <definedName name="FirstRateCell" localSheetId="0">'Ireland Mail'!$F$15</definedName>
    <definedName name="FirstRateCell">#REF!</definedName>
    <definedName name="FirstUKAndFulfilmentRow" localSheetId="0">'Ireland Mail'!#REF!</definedName>
    <definedName name="FirstUKAndFulfilmentRow">#REF!</definedName>
    <definedName name="FirstUKRateCell" localSheetId="0">'Ireland Mail'!$G$33</definedName>
    <definedName name="FirstUKRateCell">#REF!</definedName>
    <definedName name="FormatType" localSheetId="0">'Ireland Mail'!$F$10</definedName>
    <definedName name="FormatType">#REF!</definedName>
    <definedName name="Frequency" localSheetId="0">'Ireland Mail'!$G$10</definedName>
    <definedName name="Frequency">#REF!</definedName>
    <definedName name="FulfilmentNettTotal" localSheetId="0">'Ireland Mail'!$N$106</definedName>
    <definedName name="FulfilmentNettTotal">#REF!</definedName>
    <definedName name="FulfilmentTotal" localSheetId="0">'Ireland Mail'!$P$106</definedName>
    <definedName name="FulfilmentTotal">#REF!</definedName>
    <definedName name="FulfilmentVATTotal" localSheetId="0">'Ireland Mail'!$O$106</definedName>
    <definedName name="FulfilmentVATTotal">#REF!</definedName>
    <definedName name="IntNettTotal" localSheetId="0">'Ireland Mail'!$N$29</definedName>
    <definedName name="IntNettTotal">#REF!</definedName>
    <definedName name="IntQty" localSheetId="0">'Ireland Mail'!$L$29</definedName>
    <definedName name="IntQty">#REF!</definedName>
    <definedName name="IntTotal" localSheetId="0">'Ireland Mail'!$P$29</definedName>
    <definedName name="IntTotal">#REF!</definedName>
    <definedName name="IntVATTotal" localSheetId="0">'Ireland Mail'!$O$29</definedName>
    <definedName name="IntVATTotal">#REF!</definedName>
    <definedName name="ItemWt" localSheetId="0">'Ireland Mail'!$H$10</definedName>
    <definedName name="ItemWt">#REF!</definedName>
    <definedName name="LastRateCell" localSheetId="0">'Ireland Mail'!$H$28</definedName>
    <definedName name="LastRateCell">#REF!</definedName>
    <definedName name="LastRowOfReckoner" localSheetId="0">'Ireland Mail'!#REF!</definedName>
    <definedName name="LastRowOfReckoner">#REF!</definedName>
    <definedName name="LastUKRateCell" localSheetId="0">'Ireland Mail'!#REF!</definedName>
    <definedName name="LastUKRateCell">#REF!</definedName>
    <definedName name="MailType" localSheetId="0">'Ireland Mail'!$E$10</definedName>
    <definedName name="MailType">#REF!</definedName>
    <definedName name="Qty" localSheetId="0">'Ireland Mail'!$V$6</definedName>
    <definedName name="Qty">#REF!</definedName>
    <definedName name="UKNettTotal" localSheetId="0">'Ireland Mail'!$N$59</definedName>
    <definedName name="UKNettTotal">#REF!</definedName>
    <definedName name="UKQty" localSheetId="0">'Ireland Mail'!$L$59</definedName>
    <definedName name="UKQty">#REF!</definedName>
    <definedName name="UKTotal" localSheetId="0">'Ireland Mail'!$P$59</definedName>
    <definedName name="UKTotal">#REF!</definedName>
    <definedName name="UKVATTotal" localSheetId="0">'Ireland Mail'!$O$59</definedName>
    <definedName name="UKVATTotal">#REF!</definedName>
    <definedName name="VATFactor" localSheetId="0">'Ireland Mail'!$T$10</definedName>
    <definedName name="VATFact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7" i="27" l="1"/>
  <c r="K20" i="27"/>
  <c r="I22" i="27" l="1"/>
  <c r="I19" i="27"/>
  <c r="I16" i="27"/>
  <c r="K25" i="27"/>
  <c r="U22" i="27"/>
  <c r="U19" i="27"/>
  <c r="U16" i="27"/>
  <c r="J16" i="27" l="1"/>
  <c r="J22" i="27"/>
  <c r="J19" i="27"/>
  <c r="O22" i="27"/>
  <c r="O19" i="27"/>
  <c r="N22" i="27"/>
  <c r="N19" i="27"/>
  <c r="P22" i="27" l="1"/>
  <c r="P19" i="27"/>
  <c r="N104" i="27"/>
  <c r="O104" i="27" s="1"/>
  <c r="P104" i="27" s="1"/>
  <c r="H101" i="27"/>
  <c r="N101" i="27"/>
  <c r="N96" i="27"/>
  <c r="H96" i="27"/>
  <c r="N95" i="27"/>
  <c r="H95" i="27"/>
  <c r="N88" i="27"/>
  <c r="O88" i="27" s="1"/>
  <c r="P88" i="27" s="1"/>
  <c r="H87" i="27"/>
  <c r="N87" i="27"/>
  <c r="N84" i="27"/>
  <c r="H84" i="27"/>
  <c r="N83" i="27"/>
  <c r="H83" i="27"/>
  <c r="N78" i="27"/>
  <c r="H77" i="27"/>
  <c r="N77" i="27"/>
  <c r="N76" i="27"/>
  <c r="H76" i="27"/>
  <c r="N71" i="27"/>
  <c r="H71" i="27"/>
  <c r="N66" i="27"/>
  <c r="O66" i="27" s="1"/>
  <c r="P66" i="27" s="1"/>
  <c r="H65" i="27"/>
  <c r="N65" i="27"/>
  <c r="O65" i="27" s="1"/>
  <c r="L59" i="27"/>
  <c r="D31" i="27" s="1"/>
  <c r="I57" i="27"/>
  <c r="N57" i="27" s="1"/>
  <c r="I56" i="27"/>
  <c r="N56" i="27" s="1"/>
  <c r="O56" i="27" s="1"/>
  <c r="I55" i="27"/>
  <c r="N55" i="27" s="1"/>
  <c r="I54" i="27"/>
  <c r="N54" i="27" s="1"/>
  <c r="I53" i="27"/>
  <c r="N53" i="27" s="1"/>
  <c r="I52" i="27"/>
  <c r="N52" i="27" s="1"/>
  <c r="I51" i="27"/>
  <c r="N51" i="27" s="1"/>
  <c r="O51" i="27" s="1"/>
  <c r="P51" i="27" s="1"/>
  <c r="I50" i="27"/>
  <c r="N50" i="27" s="1"/>
  <c r="O50" i="27" s="1"/>
  <c r="P50" i="27" s="1"/>
  <c r="I49" i="27"/>
  <c r="N49" i="27" s="1"/>
  <c r="O49" i="27" s="1"/>
  <c r="I48" i="27"/>
  <c r="N48" i="27" s="1"/>
  <c r="I47" i="27"/>
  <c r="N47" i="27" s="1"/>
  <c r="I46" i="27"/>
  <c r="N46" i="27" s="1"/>
  <c r="I45" i="27"/>
  <c r="N45" i="27" s="1"/>
  <c r="O45" i="27" s="1"/>
  <c r="I44" i="27"/>
  <c r="N44" i="27" s="1"/>
  <c r="I43" i="27"/>
  <c r="N43" i="27" s="1"/>
  <c r="O43" i="27" s="1"/>
  <c r="I42" i="27"/>
  <c r="N42" i="27" s="1"/>
  <c r="I41" i="27"/>
  <c r="N41" i="27" s="1"/>
  <c r="I40" i="27"/>
  <c r="N40" i="27" s="1"/>
  <c r="I39" i="27"/>
  <c r="N39" i="27" s="1"/>
  <c r="I38" i="27"/>
  <c r="N38" i="27" s="1"/>
  <c r="I37" i="27"/>
  <c r="N37" i="27" s="1"/>
  <c r="I36" i="27"/>
  <c r="N36" i="27" s="1"/>
  <c r="I35" i="27"/>
  <c r="N35" i="27" s="1"/>
  <c r="I34" i="27"/>
  <c r="N34" i="27" s="1"/>
  <c r="L29" i="27"/>
  <c r="V4" i="27" s="1"/>
  <c r="O16" i="27"/>
  <c r="U10" i="27"/>
  <c r="V5" i="27" l="1"/>
  <c r="V6" i="27"/>
  <c r="D13" i="27"/>
  <c r="P45" i="27"/>
  <c r="P56" i="27"/>
  <c r="O78" i="27"/>
  <c r="P78" i="27" s="1"/>
  <c r="N16" i="27"/>
  <c r="P16" i="27" s="1"/>
  <c r="O29" i="27"/>
  <c r="O37" i="27"/>
  <c r="P37" i="27" s="1"/>
  <c r="P49" i="27"/>
  <c r="O52" i="27"/>
  <c r="P52" i="27" s="1"/>
  <c r="O87" i="27"/>
  <c r="P87" i="27" s="1"/>
  <c r="N59" i="27"/>
  <c r="L10" i="27" s="1"/>
  <c r="O34" i="27"/>
  <c r="P34" i="27" s="1"/>
  <c r="O41" i="27"/>
  <c r="P41" i="27" s="1"/>
  <c r="O47" i="27"/>
  <c r="P47" i="27" s="1"/>
  <c r="O53" i="27"/>
  <c r="P53" i="27" s="1"/>
  <c r="O35" i="27"/>
  <c r="P35" i="27" s="1"/>
  <c r="O38" i="27"/>
  <c r="P38" i="27" s="1"/>
  <c r="O44" i="27"/>
  <c r="P44" i="27" s="1"/>
  <c r="O57" i="27"/>
  <c r="P57" i="27" s="1"/>
  <c r="O42" i="27"/>
  <c r="P42" i="27" s="1"/>
  <c r="O54" i="27"/>
  <c r="P54" i="27" s="1"/>
  <c r="H70" i="27"/>
  <c r="N70" i="27"/>
  <c r="O77" i="27"/>
  <c r="P77" i="27" s="1"/>
  <c r="N91" i="27"/>
  <c r="H91" i="27"/>
  <c r="O96" i="27"/>
  <c r="P96" i="27" s="1"/>
  <c r="O36" i="27"/>
  <c r="P36" i="27" s="1"/>
  <c r="P43" i="27"/>
  <c r="O46" i="27"/>
  <c r="P46" i="27" s="1"/>
  <c r="O55" i="27"/>
  <c r="P55" i="27" s="1"/>
  <c r="P65" i="27"/>
  <c r="N67" i="27"/>
  <c r="H67" i="27"/>
  <c r="O76" i="27"/>
  <c r="P76" i="27" s="1"/>
  <c r="O101" i="27"/>
  <c r="P101" i="27" s="1"/>
  <c r="O39" i="27"/>
  <c r="P39" i="27" s="1"/>
  <c r="O48" i="27"/>
  <c r="P48" i="27" s="1"/>
  <c r="H94" i="27"/>
  <c r="N94" i="27"/>
  <c r="O40" i="27"/>
  <c r="P40" i="27" s="1"/>
  <c r="H82" i="27"/>
  <c r="N82" i="27"/>
  <c r="N79" i="27"/>
  <c r="H79" i="27"/>
  <c r="O84" i="27"/>
  <c r="P84" i="27" s="1"/>
  <c r="O71" i="27"/>
  <c r="P71" i="27" s="1"/>
  <c r="O83" i="27"/>
  <c r="P83" i="27" s="1"/>
  <c r="O95" i="27"/>
  <c r="P95" i="27" s="1"/>
  <c r="H66" i="27"/>
  <c r="H78" i="27"/>
  <c r="H88" i="27"/>
  <c r="H104" i="27"/>
  <c r="O94" i="27" l="1"/>
  <c r="P94" i="27" s="1"/>
  <c r="O79" i="27"/>
  <c r="P79" i="27" s="1"/>
  <c r="O70" i="27"/>
  <c r="P70" i="27" s="1"/>
  <c r="O59" i="27"/>
  <c r="O82" i="27"/>
  <c r="P82" i="27" s="1"/>
  <c r="O67" i="27"/>
  <c r="P67" i="27" s="1"/>
  <c r="P59" i="27"/>
  <c r="P29" i="27"/>
  <c r="N106" i="27"/>
  <c r="M10" i="27" s="1"/>
  <c r="O91" i="27"/>
  <c r="P91" i="27" s="1"/>
  <c r="N29" i="27"/>
  <c r="P106" i="27" l="1"/>
  <c r="P108" i="27" s="1"/>
  <c r="N108" i="27"/>
  <c r="K10" i="27"/>
  <c r="N10" i="27" s="1"/>
  <c r="O106" i="27"/>
  <c r="O108" i="27" s="1"/>
  <c r="O10" i="27" s="1"/>
  <c r="P10" i="27" l="1"/>
</calcChain>
</file>

<file path=xl/sharedStrings.xml><?xml version="1.0" encoding="utf-8"?>
<sst xmlns="http://schemas.openxmlformats.org/spreadsheetml/2006/main" count="241" uniqueCount="156">
  <si>
    <t>Format</t>
  </si>
  <si>
    <t>Frequency</t>
  </si>
  <si>
    <t>Operations</t>
  </si>
  <si>
    <t>Data Bureau</t>
  </si>
  <si>
    <t>'000</t>
  </si>
  <si>
    <t>VAT</t>
  </si>
  <si>
    <t>Storage</t>
  </si>
  <si>
    <t>Mailhouse</t>
  </si>
  <si>
    <t>Y</t>
  </si>
  <si>
    <t>Total</t>
  </si>
  <si>
    <t>Fulfilment total</t>
  </si>
  <si>
    <t>Overseas total</t>
  </si>
  <si>
    <t>UK total</t>
  </si>
  <si>
    <t>Flats</t>
  </si>
  <si>
    <t>Type</t>
  </si>
  <si>
    <t>Service</t>
  </si>
  <si>
    <t>Nett total</t>
  </si>
  <si>
    <t>Item Weight (gms)</t>
  </si>
  <si>
    <t>Rate per kg</t>
  </si>
  <si>
    <t>Rate per item</t>
  </si>
  <si>
    <t>Item Price</t>
  </si>
  <si>
    <t>Quantity</t>
  </si>
  <si>
    <t>Nett Total</t>
  </si>
  <si>
    <t>Overseas Total</t>
  </si>
  <si>
    <t>Royal Mail</t>
  </si>
  <si>
    <t>UK Total</t>
  </si>
  <si>
    <t>FULFILMENT</t>
  </si>
  <si>
    <t>Fulfilment Total</t>
  </si>
  <si>
    <t>Rate per unit</t>
  </si>
  <si>
    <t>Sub Quantity</t>
  </si>
  <si>
    <t>Quotation Totals</t>
  </si>
  <si>
    <t>Service Code</t>
  </si>
  <si>
    <t>3322AUT10200</t>
  </si>
  <si>
    <t>3322BEL10200</t>
  </si>
  <si>
    <t>3322BUL10200</t>
  </si>
  <si>
    <t>3320RMMP1K00</t>
  </si>
  <si>
    <t>3320RMSP1K00</t>
  </si>
  <si>
    <t>3320RMPO1000</t>
  </si>
  <si>
    <t>3320RMPL1000</t>
  </si>
  <si>
    <t>3320RMMPZK00</t>
  </si>
  <si>
    <t>3320RMMP2K00</t>
  </si>
  <si>
    <t>3320RMSP2K00</t>
  </si>
  <si>
    <t>3320RMPO2500</t>
  </si>
  <si>
    <t>3320RMMP5K00</t>
  </si>
  <si>
    <t>3320RMPO5000</t>
  </si>
  <si>
    <t>3320RMMPXK00</t>
  </si>
  <si>
    <t>3320RMPO7500</t>
  </si>
  <si>
    <t>3330RMPM1K00</t>
  </si>
  <si>
    <t>3330RMPS1K00</t>
  </si>
  <si>
    <t>3330RMPO1000</t>
  </si>
  <si>
    <t>3330RMPL1000</t>
  </si>
  <si>
    <t>3330RMPMZK00</t>
  </si>
  <si>
    <t>3330RMPM2K00</t>
  </si>
  <si>
    <t>3330RMPS2K00</t>
  </si>
  <si>
    <t>3330RMPO2500</t>
  </si>
  <si>
    <t>3330RMPM5K00</t>
  </si>
  <si>
    <t>3330RMPO5000</t>
  </si>
  <si>
    <t>3330RMPMXK00</t>
  </si>
  <si>
    <t>3330RMPO7500</t>
  </si>
  <si>
    <t>26AFFIXLAB12</t>
  </si>
  <si>
    <t>27BAGTAG0012</t>
  </si>
  <si>
    <t>111BASICDC61</t>
  </si>
  <si>
    <t>27BELLY00012</t>
  </si>
  <si>
    <t>XCOLLFP01K25</t>
  </si>
  <si>
    <t>111PPPDATA03</t>
  </si>
  <si>
    <t>111DIGIOUT12</t>
  </si>
  <si>
    <t>25POLYHADD12</t>
  </si>
  <si>
    <t>23PBAG000003</t>
  </si>
  <si>
    <t>26INKJETPP12</t>
  </si>
  <si>
    <t>22POLYINCC12</t>
  </si>
  <si>
    <t>24POLY000012</t>
  </si>
  <si>
    <t>23PICKADDT03</t>
  </si>
  <si>
    <t>23PICKPACK03</t>
  </si>
  <si>
    <t>114PRNTMSP12</t>
  </si>
  <si>
    <t>113PRFULAB12</t>
  </si>
  <si>
    <t>42PAL0000043</t>
  </si>
  <si>
    <t>293FILA40012</t>
  </si>
  <si>
    <t>29GLUEDOTS12</t>
  </si>
  <si>
    <t>293PBGA40012</t>
  </si>
  <si>
    <t>N</t>
  </si>
  <si>
    <t>1st Class Medium Parcel 0-1kg</t>
  </si>
  <si>
    <t>1st Class Small Parcel 0-1kg</t>
  </si>
  <si>
    <t>1st Class Large Letter -100g</t>
  </si>
  <si>
    <t>1st Class Letter -100g</t>
  </si>
  <si>
    <t>1st Class Medium Parcel 10-20kg</t>
  </si>
  <si>
    <t>1st Class Medium Parcel 1-2kg</t>
  </si>
  <si>
    <t>1st Class Small Parcel 1-2kg</t>
  </si>
  <si>
    <t>1st Class Large Letter -250g</t>
  </si>
  <si>
    <t>1st Class Medium Parcel 2-5kg</t>
  </si>
  <si>
    <t>1st Class Large Letter -500g</t>
  </si>
  <si>
    <t>1st Class Medium Parcel 5-10kg</t>
  </si>
  <si>
    <t>1st Class Large Letter -750g</t>
  </si>
  <si>
    <t>2nd Class Medium Parcel 0-1kg</t>
  </si>
  <si>
    <t>2nd Class Small Parcel 0-1kg</t>
  </si>
  <si>
    <t>2nd Class Large Letter -100g</t>
  </si>
  <si>
    <t>2nd Class Letter -100g</t>
  </si>
  <si>
    <t>2nd Class Medium Parcel 10-20kg</t>
  </si>
  <si>
    <t>2nd Class Medium Parcel 1-2kg</t>
  </si>
  <si>
    <t>2nd Class Small Parcel 1-2kg</t>
  </si>
  <si>
    <t>2nd Class Large Letter -250g</t>
  </si>
  <si>
    <t>2nd Class Medium Parcel 2-5kg</t>
  </si>
  <si>
    <t>2nd Class Large Letter -500g</t>
  </si>
  <si>
    <t>2nd Class Medium Parcel 5-10kg</t>
  </si>
  <si>
    <t>2nd Class Large Letter -750g</t>
  </si>
  <si>
    <t>Materials</t>
  </si>
  <si>
    <t>Basic Data Check</t>
  </si>
  <si>
    <t>Data Process And Print For P&amp;P</t>
  </si>
  <si>
    <t>Digital Output</t>
  </si>
  <si>
    <t>Print Mono Simplex A4/A5</t>
  </si>
  <si>
    <t>Affix Labels</t>
  </si>
  <si>
    <t>Bellyband</t>
  </si>
  <si>
    <t>Hand Poly Additional Items</t>
  </si>
  <si>
    <t>Machine Poly Additional Items</t>
  </si>
  <si>
    <t>Pick Additional Items</t>
  </si>
  <si>
    <t>Supply A4 Clear Film</t>
  </si>
  <si>
    <t>Supply Glue Dots</t>
  </si>
  <si>
    <t>Supply Polybags A4</t>
  </si>
  <si>
    <t>Store Pallet Per Week</t>
  </si>
  <si>
    <t>Print Name Address &amp; PPI Labels</t>
  </si>
  <si>
    <t>Inkjet Name, Address &amp; PPI</t>
  </si>
  <si>
    <t>Hand Polybag 1st Item</t>
  </si>
  <si>
    <t>Machine Poly 1st Item &amp; Carrier</t>
  </si>
  <si>
    <t>Pick And Pack 1st Item</t>
  </si>
  <si>
    <t>Collection Pallet Up To 1000kgs</t>
  </si>
  <si>
    <t>Letters</t>
  </si>
  <si>
    <t>Packets</t>
  </si>
  <si>
    <t>Max Wt</t>
  </si>
  <si>
    <t>Item</t>
  </si>
  <si>
    <t>Pallet</t>
  </si>
  <si>
    <t>File</t>
  </si>
  <si>
    <t>Week</t>
  </si>
  <si>
    <t>Bag &amp; Tag For Royal Mail/DSA Volume Services</t>
  </si>
  <si>
    <t>Processing and Administration</t>
  </si>
  <si>
    <t>Printing</t>
  </si>
  <si>
    <t>Enclosure</t>
  </si>
  <si>
    <t>Pick and Pack</t>
  </si>
  <si>
    <t>Additional services</t>
  </si>
  <si>
    <t>Collections</t>
  </si>
  <si>
    <t>MBags 2-5kgs</t>
  </si>
  <si>
    <t>MBags +5kgs</t>
  </si>
  <si>
    <t>No Items</t>
  </si>
  <si>
    <t>Priority</t>
  </si>
  <si>
    <t>Printed Matter</t>
  </si>
  <si>
    <t>As required</t>
  </si>
  <si>
    <t>ALL</t>
  </si>
  <si>
    <t>Ireland Letters 0-100g</t>
  </si>
  <si>
    <t>Ireland Flats 0-500g</t>
  </si>
  <si>
    <t>Ireland Packets 0-2000g</t>
  </si>
  <si>
    <r>
      <t xml:space="preserve">European Union  </t>
    </r>
    <r>
      <rPr>
        <i/>
        <sz val="14"/>
        <color rgb="FFFFFFFF"/>
        <rFont val="Calibri"/>
        <family val="2"/>
        <scheme val="minor"/>
      </rPr>
      <t xml:space="preserve"> (Rates in EUROS)</t>
    </r>
  </si>
  <si>
    <t>Maximum 235 x 162 x 5mm  100gms</t>
  </si>
  <si>
    <t>Maximum 400 x 300 x 25mm  500gms</t>
  </si>
  <si>
    <t>Minimum 100 x 70 x 25mm Maximum L + W + H &lt;900mm no single dimension to exceed 600mm 2,000gms</t>
  </si>
  <si>
    <t>Rates for printed matter only, ex Hatfield with work to be presented sorted by format with PPI applied which Air Business would supply. No UK return addresses to be printed</t>
  </si>
  <si>
    <t>Total Weight (kgs)</t>
  </si>
  <si>
    <t>Rates effective for mailings into Ireland as of 15th January 2025</t>
  </si>
  <si>
    <t>Citipost/5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</si>
</sst>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£&quot;#,##0.00"/>
    <numFmt numFmtId="165" formatCode="ddd\ d\ mmm\ yyyy"/>
    <numFmt numFmtId="166" formatCode="0.0000"/>
    <numFmt numFmtId="167" formatCode="&quot;£&quot;#,##0.000"/>
    <numFmt numFmtId="168" formatCode="[$€-83C]#,##0.00"/>
    <numFmt numFmtId="169" formatCode="[$€-83C]#,##0.000"/>
    <numFmt numFmtId="170" formatCode="0.000"/>
  </numFmts>
  <fonts count="20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FFFFFF"/>
      <name val="Calibri"/>
      <family val="2"/>
      <scheme val="minor"/>
    </font>
    <font>
      <sz val="10"/>
      <name val="Arial"/>
      <family val="2"/>
    </font>
    <font>
      <b/>
      <i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indexed="14"/>
      <name val="Calibri"/>
      <family val="2"/>
      <scheme val="minor"/>
    </font>
    <font>
      <sz val="11"/>
      <color rgb="FFFFFFFF"/>
      <name val="Calibri"/>
      <family val="2"/>
      <scheme val="minor"/>
    </font>
    <font>
      <sz val="14"/>
      <name val="Calibri"/>
      <family val="2"/>
      <scheme val="minor"/>
    </font>
    <font>
      <sz val="14"/>
      <color rgb="FFFFFFFF"/>
      <name val="Calibri"/>
      <family val="2"/>
      <scheme val="minor"/>
    </font>
    <font>
      <u/>
      <sz val="10"/>
      <color theme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FFFFFF"/>
      <name val="Calibri"/>
      <family val="2"/>
      <scheme val="minor"/>
    </font>
    <font>
      <i/>
      <sz val="14"/>
      <color rgb="FFFFFFFF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8"/>
      <color rgb="FF00000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11" fillId="0" borderId="0" applyNumberFormat="0" applyFill="0" applyBorder="0" applyAlignment="0" applyProtection="0"/>
    <xf numFmtId="0" fontId="13" fillId="0" borderId="0"/>
  </cellStyleXfs>
  <cellXfs count="119">
    <xf numFmtId="0" fontId="0" fillId="0" borderId="0" xfId="0"/>
    <xf numFmtId="0" fontId="6" fillId="7" borderId="0" xfId="0" applyFont="1" applyFill="1" applyBorder="1" applyProtection="1">
      <protection hidden="1"/>
    </xf>
    <xf numFmtId="0" fontId="6" fillId="7" borderId="0" xfId="0" applyNumberFormat="1" applyFont="1" applyFill="1" applyBorder="1" applyAlignment="1" applyProtection="1">
      <alignment horizontal="left" vertical="center"/>
      <protection hidden="1"/>
    </xf>
    <xf numFmtId="0" fontId="6" fillId="0" borderId="0" xfId="0" applyFont="1" applyFill="1" applyBorder="1" applyProtection="1">
      <protection hidden="1"/>
    </xf>
    <xf numFmtId="2" fontId="6" fillId="0" borderId="0" xfId="0" applyNumberFormat="1" applyFont="1" applyFill="1" applyBorder="1" applyProtection="1">
      <protection hidden="1"/>
    </xf>
    <xf numFmtId="0" fontId="6" fillId="7" borderId="0" xfId="1" applyFont="1" applyFill="1" applyBorder="1" applyAlignment="1" applyProtection="1">
      <alignment vertical="center"/>
      <protection hidden="1"/>
    </xf>
    <xf numFmtId="0" fontId="6" fillId="0" borderId="0" xfId="1" applyFont="1" applyFill="1" applyBorder="1" applyAlignment="1" applyProtection="1">
      <alignment vertical="center"/>
      <protection hidden="1"/>
    </xf>
    <xf numFmtId="0" fontId="6" fillId="0" borderId="0" xfId="1" applyFont="1" applyFill="1" applyBorder="1" applyAlignment="1" applyProtection="1">
      <alignment horizontal="left" vertical="center"/>
      <protection hidden="1"/>
    </xf>
    <xf numFmtId="0" fontId="6" fillId="0" borderId="0" xfId="1" applyNumberFormat="1" applyFont="1" applyFill="1" applyBorder="1" applyAlignment="1" applyProtection="1">
      <alignment horizontal="left" vertical="center"/>
      <protection hidden="1"/>
    </xf>
    <xf numFmtId="0" fontId="6" fillId="0" borderId="0" xfId="1" applyFont="1" applyFill="1" applyBorder="1" applyAlignment="1" applyProtection="1">
      <alignment horizontal="left" vertical="center" indent="3"/>
      <protection hidden="1"/>
    </xf>
    <xf numFmtId="164" fontId="6" fillId="0" borderId="0" xfId="1" applyNumberFormat="1" applyFont="1" applyFill="1" applyBorder="1" applyAlignment="1" applyProtection="1">
      <alignment vertical="center"/>
      <protection hidden="1"/>
    </xf>
    <xf numFmtId="164" fontId="6" fillId="0" borderId="0" xfId="0" applyNumberFormat="1" applyFont="1" applyFill="1" applyBorder="1" applyAlignment="1" applyProtection="1">
      <alignment horizontal="center" vertical="center"/>
      <protection hidden="1"/>
    </xf>
    <xf numFmtId="164" fontId="6" fillId="7" borderId="0" xfId="1" applyNumberFormat="1" applyFont="1" applyFill="1" applyBorder="1" applyAlignment="1" applyProtection="1">
      <alignment horizontal="right" vertical="center"/>
      <protection hidden="1"/>
    </xf>
    <xf numFmtId="2" fontId="6" fillId="0" borderId="0" xfId="1" applyNumberFormat="1" applyFont="1" applyFill="1" applyBorder="1" applyAlignment="1" applyProtection="1">
      <alignment vertical="center"/>
      <protection hidden="1"/>
    </xf>
    <xf numFmtId="0" fontId="6" fillId="0" borderId="0" xfId="1" applyFont="1" applyFill="1" applyBorder="1" applyAlignment="1" applyProtection="1">
      <alignment horizontal="right" vertical="center"/>
      <protection hidden="1"/>
    </xf>
    <xf numFmtId="0" fontId="6" fillId="0" borderId="0" xfId="1" applyFont="1" applyFill="1" applyBorder="1" applyAlignment="1" applyProtection="1">
      <alignment horizontal="right" vertical="center" indent="1"/>
      <protection hidden="1"/>
    </xf>
    <xf numFmtId="0" fontId="7" fillId="7" borderId="0" xfId="1" applyFont="1" applyFill="1" applyBorder="1" applyAlignment="1" applyProtection="1">
      <alignment horizontal="right" vertical="center"/>
      <protection hidden="1"/>
    </xf>
    <xf numFmtId="0" fontId="7" fillId="0" borderId="0" xfId="1" applyFont="1" applyFill="1" applyBorder="1" applyAlignment="1" applyProtection="1">
      <alignment horizontal="right" vertical="center"/>
      <protection hidden="1"/>
    </xf>
    <xf numFmtId="0" fontId="1" fillId="7" borderId="0" xfId="0" applyFont="1" applyFill="1" applyBorder="1" applyProtection="1">
      <protection hidden="1"/>
    </xf>
    <xf numFmtId="0" fontId="1" fillId="0" borderId="0" xfId="0" applyFont="1" applyFill="1" applyBorder="1" applyProtection="1">
      <protection hidden="1"/>
    </xf>
    <xf numFmtId="0" fontId="1" fillId="0" borderId="0" xfId="0" applyNumberFormat="1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Border="1" applyAlignment="1" applyProtection="1">
      <alignment horizontal="center" vertical="center" wrapText="1"/>
      <protection hidden="1"/>
    </xf>
    <xf numFmtId="0" fontId="8" fillId="2" borderId="0" xfId="2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Fill="1" applyBorder="1" applyAlignment="1" applyProtection="1">
      <alignment horizontal="center" vertical="center"/>
      <protection hidden="1"/>
    </xf>
    <xf numFmtId="2" fontId="1" fillId="0" borderId="0" xfId="0" applyNumberFormat="1" applyFont="1" applyFill="1" applyBorder="1" applyProtection="1">
      <protection hidden="1"/>
    </xf>
    <xf numFmtId="0" fontId="1" fillId="3" borderId="0" xfId="0" applyFont="1" applyFill="1" applyBorder="1" applyAlignment="1" applyProtection="1">
      <alignment horizontal="center" vertical="center"/>
      <protection hidden="1"/>
    </xf>
    <xf numFmtId="164" fontId="1" fillId="3" borderId="0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1" fillId="8" borderId="0" xfId="0" applyNumberFormat="1" applyFont="1" applyFill="1" applyBorder="1" applyAlignment="1" applyProtection="1">
      <alignment horizontal="left" vertical="center"/>
      <protection hidden="1"/>
    </xf>
    <xf numFmtId="0" fontId="2" fillId="4" borderId="0" xfId="0" applyFont="1" applyFill="1" applyBorder="1" applyAlignment="1" applyProtection="1">
      <alignment horizontal="center" vertical="center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0" fontId="2" fillId="4" borderId="1" xfId="0" applyFont="1" applyFill="1" applyBorder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1" fontId="12" fillId="0" borderId="1" xfId="0" applyNumberFormat="1" applyFont="1" applyFill="1" applyBorder="1" applyAlignment="1" applyProtection="1">
      <alignment horizontal="center" vertical="center"/>
      <protection locked="0" hidden="1"/>
    </xf>
    <xf numFmtId="164" fontId="1" fillId="3" borderId="0" xfId="0" applyNumberFormat="1" applyFont="1" applyFill="1" applyBorder="1" applyAlignment="1" applyProtection="1">
      <alignment horizontal="right" vertical="center"/>
      <protection hidden="1"/>
    </xf>
    <xf numFmtId="164" fontId="1" fillId="0" borderId="0" xfId="0" applyNumberFormat="1" applyFont="1" applyFill="1" applyBorder="1" applyAlignment="1" applyProtection="1">
      <alignment horizontal="right" vertical="center"/>
      <protection hidden="1"/>
    </xf>
    <xf numFmtId="0" fontId="1" fillId="7" borderId="0" xfId="0" applyFont="1" applyFill="1" applyBorder="1" applyAlignment="1" applyProtection="1">
      <alignment horizontal="right" vertical="center"/>
      <protection hidden="1"/>
    </xf>
    <xf numFmtId="0" fontId="1" fillId="0" borderId="0" xfId="0" applyFont="1" applyFill="1" applyBorder="1" applyAlignment="1" applyProtection="1">
      <alignment horizontal="right" vertical="center"/>
      <protection hidden="1"/>
    </xf>
    <xf numFmtId="2" fontId="1" fillId="0" borderId="0" xfId="0" applyNumberFormat="1" applyFont="1" applyFill="1" applyBorder="1" applyAlignment="1" applyProtection="1">
      <alignment horizontal="right" vertical="center"/>
      <protection hidden="1"/>
    </xf>
    <xf numFmtId="0" fontId="9" fillId="7" borderId="0" xfId="0" applyFont="1" applyFill="1" applyBorder="1" applyProtection="1">
      <protection hidden="1"/>
    </xf>
    <xf numFmtId="0" fontId="9" fillId="0" borderId="0" xfId="0" applyFont="1" applyFill="1" applyBorder="1" applyProtection="1">
      <protection hidden="1"/>
    </xf>
    <xf numFmtId="0" fontId="10" fillId="9" borderId="0" xfId="0" applyNumberFormat="1" applyFont="1" applyFill="1" applyBorder="1" applyAlignment="1" applyProtection="1">
      <alignment horizontal="left" vertical="center"/>
      <protection hidden="1"/>
    </xf>
    <xf numFmtId="0" fontId="10" fillId="5" borderId="0" xfId="0" applyFont="1" applyFill="1" applyBorder="1" applyAlignment="1" applyProtection="1">
      <alignment horizontal="left" vertical="center" indent="1"/>
      <protection hidden="1"/>
    </xf>
    <xf numFmtId="0" fontId="10" fillId="5" borderId="0" xfId="0" applyFont="1" applyFill="1" applyBorder="1" applyAlignment="1" applyProtection="1">
      <alignment horizontal="center" vertical="center"/>
      <protection hidden="1"/>
    </xf>
    <xf numFmtId="0" fontId="10" fillId="5" borderId="0" xfId="0" applyFont="1" applyFill="1" applyBorder="1" applyAlignment="1" applyProtection="1">
      <alignment horizontal="center" vertical="center" wrapText="1"/>
      <protection hidden="1"/>
    </xf>
    <xf numFmtId="2" fontId="9" fillId="0" borderId="0" xfId="0" applyNumberFormat="1" applyFont="1" applyFill="1" applyBorder="1" applyProtection="1">
      <protection hidden="1"/>
    </xf>
    <xf numFmtId="0" fontId="8" fillId="9" borderId="0" xfId="0" applyNumberFormat="1" applyFont="1" applyFill="1" applyBorder="1" applyAlignment="1" applyProtection="1">
      <alignment horizontal="left" vertical="center"/>
      <protection hidden="1"/>
    </xf>
    <xf numFmtId="0" fontId="10" fillId="2" borderId="0" xfId="0" applyFont="1" applyFill="1" applyBorder="1" applyAlignment="1" applyProtection="1">
      <alignment horizontal="left" vertical="center" indent="1"/>
      <protection hidden="1"/>
    </xf>
    <xf numFmtId="0" fontId="10" fillId="2" borderId="0" xfId="0" applyFont="1" applyFill="1" applyBorder="1" applyAlignment="1" applyProtection="1">
      <alignment horizontal="right" vertical="center"/>
      <protection hidden="1"/>
    </xf>
    <xf numFmtId="0" fontId="3" fillId="2" borderId="0" xfId="0" applyFont="1" applyFill="1" applyBorder="1" applyAlignment="1" applyProtection="1">
      <alignment horizontal="right" vertical="center"/>
      <protection hidden="1"/>
    </xf>
    <xf numFmtId="0" fontId="8" fillId="0" borderId="0" xfId="0" applyFont="1" applyFill="1" applyBorder="1" applyAlignment="1" applyProtection="1">
      <alignment horizontal="right" vertical="center"/>
      <protection hidden="1"/>
    </xf>
    <xf numFmtId="0" fontId="1" fillId="6" borderId="0" xfId="0" applyFont="1" applyFill="1" applyBorder="1" applyAlignment="1" applyProtection="1">
      <alignment horizontal="right" vertical="center"/>
      <protection hidden="1"/>
    </xf>
    <xf numFmtId="0" fontId="8" fillId="9" borderId="0" xfId="3" applyFont="1" applyFill="1" applyAlignment="1" applyProtection="1">
      <alignment horizontal="left"/>
      <protection hidden="1"/>
    </xf>
    <xf numFmtId="0" fontId="1" fillId="6" borderId="0" xfId="0" applyFont="1" applyFill="1" applyBorder="1" applyAlignment="1" applyProtection="1">
      <alignment horizontal="left" vertical="center" indent="1"/>
      <protection hidden="1"/>
    </xf>
    <xf numFmtId="164" fontId="1" fillId="6" borderId="0" xfId="0" applyNumberFormat="1" applyFont="1" applyFill="1" applyBorder="1" applyAlignment="1" applyProtection="1">
      <alignment horizontal="right" vertical="center"/>
      <protection hidden="1"/>
    </xf>
    <xf numFmtId="164" fontId="1" fillId="6" borderId="1" xfId="0" applyNumberFormat="1" applyFont="1" applyFill="1" applyBorder="1" applyAlignment="1" applyProtection="1">
      <alignment horizontal="right" vertical="center"/>
      <protection hidden="1"/>
    </xf>
    <xf numFmtId="0" fontId="1" fillId="0" borderId="4" xfId="0" applyFont="1" applyFill="1" applyBorder="1" applyAlignment="1" applyProtection="1">
      <alignment horizontal="right" vertical="center"/>
      <protection locked="0" hidden="1"/>
    </xf>
    <xf numFmtId="164" fontId="1" fillId="6" borderId="2" xfId="0" applyNumberFormat="1" applyFont="1" applyFill="1" applyBorder="1" applyAlignment="1" applyProtection="1">
      <alignment horizontal="right" vertical="center"/>
      <protection hidden="1"/>
    </xf>
    <xf numFmtId="164" fontId="1" fillId="6" borderId="3" xfId="0" applyNumberFormat="1" applyFont="1" applyFill="1" applyBorder="1" applyAlignment="1" applyProtection="1">
      <alignment horizontal="right" vertical="center"/>
      <protection hidden="1"/>
    </xf>
    <xf numFmtId="1" fontId="8" fillId="9" borderId="0" xfId="0" applyNumberFormat="1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Border="1" applyAlignment="1" applyProtection="1">
      <alignment horizontal="left" vertical="center" indent="1"/>
      <protection hidden="1"/>
    </xf>
    <xf numFmtId="0" fontId="8" fillId="2" borderId="0" xfId="0" applyFont="1" applyFill="1" applyBorder="1" applyAlignment="1" applyProtection="1">
      <alignment horizontal="right" vertical="center"/>
      <protection hidden="1"/>
    </xf>
    <xf numFmtId="164" fontId="8" fillId="2" borderId="0" xfId="0" applyNumberFormat="1" applyFont="1" applyFill="1" applyBorder="1" applyAlignment="1" applyProtection="1">
      <alignment horizontal="right" vertical="center"/>
      <protection hidden="1"/>
    </xf>
    <xf numFmtId="0" fontId="1" fillId="0" borderId="0" xfId="0" applyFont="1" applyFill="1" applyBorder="1" applyAlignment="1" applyProtection="1">
      <alignment horizontal="left" indent="1"/>
      <protection hidden="1"/>
    </xf>
    <xf numFmtId="0" fontId="2" fillId="6" borderId="0" xfId="0" applyFont="1" applyFill="1" applyBorder="1" applyAlignment="1" applyProtection="1">
      <alignment horizontal="left" vertical="center" indent="1"/>
      <protection hidden="1"/>
    </xf>
    <xf numFmtId="0" fontId="1" fillId="6" borderId="0" xfId="0" applyFont="1" applyFill="1" applyBorder="1" applyAlignment="1" applyProtection="1">
      <alignment horizontal="left" vertical="center" indent="2"/>
      <protection hidden="1"/>
    </xf>
    <xf numFmtId="164" fontId="1" fillId="7" borderId="0" xfId="0" applyNumberFormat="1" applyFont="1" applyFill="1" applyBorder="1" applyAlignment="1" applyProtection="1">
      <alignment horizontal="right" vertical="center"/>
      <protection hidden="1"/>
    </xf>
    <xf numFmtId="0" fontId="1" fillId="0" borderId="0" xfId="0" quotePrefix="1" applyFont="1" applyFill="1" applyBorder="1" applyAlignment="1" applyProtection="1">
      <alignment horizontal="right" vertical="center"/>
      <protection hidden="1"/>
    </xf>
    <xf numFmtId="0" fontId="1" fillId="6" borderId="0" xfId="0" applyFont="1" applyFill="1" applyBorder="1" applyAlignment="1" applyProtection="1">
      <alignment horizontal="left" vertical="center"/>
      <protection hidden="1"/>
    </xf>
    <xf numFmtId="0" fontId="15" fillId="9" borderId="0" xfId="0" applyNumberFormat="1" applyFont="1" applyFill="1" applyBorder="1" applyAlignment="1" applyProtection="1">
      <alignment horizontal="left" vertical="center"/>
      <protection hidden="1"/>
    </xf>
    <xf numFmtId="0" fontId="6" fillId="7" borderId="0" xfId="0" applyNumberFormat="1" applyFont="1" applyFill="1" applyBorder="1" applyAlignment="1" applyProtection="1">
      <alignment horizontal="left"/>
      <protection hidden="1"/>
    </xf>
    <xf numFmtId="0" fontId="6" fillId="0" borderId="0" xfId="0" applyNumberFormat="1" applyFont="1" applyFill="1" applyBorder="1" applyAlignment="1" applyProtection="1">
      <alignment horizontal="left" vertical="center"/>
      <protection hidden="1"/>
    </xf>
    <xf numFmtId="167" fontId="1" fillId="6" borderId="0" xfId="0" applyNumberFormat="1" applyFont="1" applyFill="1" applyBorder="1" applyAlignment="1" applyProtection="1">
      <alignment horizontal="right" vertical="center"/>
      <protection hidden="1"/>
    </xf>
    <xf numFmtId="167" fontId="1" fillId="6" borderId="1" xfId="0" applyNumberFormat="1" applyFont="1" applyFill="1" applyBorder="1" applyAlignment="1" applyProtection="1">
      <alignment horizontal="right" vertical="center"/>
      <protection hidden="1"/>
    </xf>
    <xf numFmtId="167" fontId="8" fillId="2" borderId="0" xfId="0" applyNumberFormat="1" applyFont="1" applyFill="1" applyBorder="1" applyAlignment="1" applyProtection="1">
      <alignment horizontal="right" vertical="center"/>
      <protection hidden="1"/>
    </xf>
    <xf numFmtId="167" fontId="1" fillId="0" borderId="0" xfId="0" applyNumberFormat="1" applyFont="1" applyFill="1" applyBorder="1" applyProtection="1">
      <protection hidden="1"/>
    </xf>
    <xf numFmtId="167" fontId="1" fillId="0" borderId="0" xfId="0" applyNumberFormat="1" applyFont="1" applyFill="1" applyBorder="1" applyAlignment="1" applyProtection="1">
      <alignment horizontal="right" vertical="center"/>
      <protection hidden="1"/>
    </xf>
    <xf numFmtId="0" fontId="10" fillId="0" borderId="0" xfId="0" applyFont="1" applyFill="1" applyBorder="1" applyAlignment="1" applyProtection="1">
      <alignment horizontal="center" vertical="center" wrapText="1"/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0" fontId="14" fillId="10" borderId="3" xfId="0" applyFont="1" applyFill="1" applyBorder="1" applyAlignment="1" applyProtection="1">
      <alignment horizontal="center" vertical="center"/>
      <protection hidden="1"/>
    </xf>
    <xf numFmtId="164" fontId="14" fillId="10" borderId="5" xfId="0" applyNumberFormat="1" applyFont="1" applyFill="1" applyBorder="1" applyAlignment="1" applyProtection="1">
      <alignment horizontal="center" vertical="center"/>
      <protection hidden="1"/>
    </xf>
    <xf numFmtId="0" fontId="14" fillId="11" borderId="4" xfId="0" applyFont="1" applyFill="1" applyBorder="1" applyAlignment="1" applyProtection="1">
      <alignment horizontal="center" vertical="center"/>
      <protection hidden="1"/>
    </xf>
    <xf numFmtId="1" fontId="1" fillId="11" borderId="4" xfId="0" applyNumberFormat="1" applyFont="1" applyFill="1" applyBorder="1" applyAlignment="1" applyProtection="1">
      <alignment horizontal="center" vertical="center"/>
      <protection hidden="1"/>
    </xf>
    <xf numFmtId="166" fontId="1" fillId="11" borderId="4" xfId="0" applyNumberFormat="1" applyFont="1" applyFill="1" applyBorder="1" applyAlignment="1" applyProtection="1">
      <alignment horizontal="center" vertical="center"/>
      <protection hidden="1"/>
    </xf>
    <xf numFmtId="168" fontId="1" fillId="6" borderId="2" xfId="0" applyNumberFormat="1" applyFont="1" applyFill="1" applyBorder="1" applyAlignment="1" applyProtection="1">
      <alignment vertical="center"/>
    </xf>
    <xf numFmtId="169" fontId="1" fillId="6" borderId="2" xfId="0" applyNumberFormat="1" applyFont="1" applyFill="1" applyBorder="1" applyAlignment="1" applyProtection="1">
      <alignment vertical="center"/>
    </xf>
    <xf numFmtId="168" fontId="8" fillId="5" borderId="2" xfId="0" applyNumberFormat="1" applyFont="1" applyFill="1" applyBorder="1" applyAlignment="1" applyProtection="1">
      <alignment vertical="center"/>
    </xf>
    <xf numFmtId="0" fontId="8" fillId="5" borderId="0" xfId="0" applyFont="1" applyFill="1" applyBorder="1" applyAlignment="1" applyProtection="1">
      <alignment horizontal="left" vertical="center" indent="1"/>
      <protection hidden="1"/>
    </xf>
    <xf numFmtId="0" fontId="8" fillId="5" borderId="0" xfId="0" applyFont="1" applyFill="1" applyBorder="1" applyAlignment="1" applyProtection="1">
      <alignment horizontal="center" vertical="center"/>
      <protection hidden="1"/>
    </xf>
    <xf numFmtId="167" fontId="8" fillId="5" borderId="0" xfId="0" applyNumberFormat="1" applyFont="1" applyFill="1" applyBorder="1" applyAlignment="1" applyProtection="1">
      <alignment horizontal="center" vertical="center"/>
      <protection hidden="1"/>
    </xf>
    <xf numFmtId="0" fontId="8" fillId="5" borderId="0" xfId="0" applyFont="1" applyFill="1" applyBorder="1" applyAlignment="1" applyProtection="1">
      <alignment horizontal="center" vertical="center" wrapText="1"/>
      <protection hidden="1"/>
    </xf>
    <xf numFmtId="168" fontId="1" fillId="4" borderId="2" xfId="0" applyNumberFormat="1" applyFont="1" applyFill="1" applyBorder="1" applyAlignment="1" applyProtection="1">
      <alignment vertical="center"/>
    </xf>
    <xf numFmtId="168" fontId="1" fillId="3" borderId="2" xfId="0" applyNumberFormat="1" applyFont="1" applyFill="1" applyBorder="1" applyAlignment="1" applyProtection="1">
      <alignment vertical="center"/>
    </xf>
    <xf numFmtId="168" fontId="8" fillId="2" borderId="2" xfId="0" applyNumberFormat="1" applyFont="1" applyFill="1" applyBorder="1" applyAlignment="1" applyProtection="1">
      <alignment vertical="center"/>
    </xf>
    <xf numFmtId="170" fontId="1" fillId="0" borderId="4" xfId="0" applyNumberFormat="1" applyFont="1" applyFill="1" applyBorder="1" applyAlignment="1" applyProtection="1">
      <alignment horizontal="right" vertical="center"/>
      <protection locked="0" hidden="1"/>
    </xf>
    <xf numFmtId="1" fontId="6" fillId="0" borderId="0" xfId="1" applyNumberFormat="1" applyFont="1" applyFill="1" applyBorder="1" applyAlignment="1" applyProtection="1">
      <alignment horizontal="center" vertical="center"/>
      <protection hidden="1"/>
    </xf>
    <xf numFmtId="0" fontId="18" fillId="6" borderId="0" xfId="0" applyFont="1" applyFill="1" applyBorder="1" applyAlignment="1" applyProtection="1">
      <alignment horizontal="center" vertical="center" wrapText="1"/>
      <protection hidden="1"/>
    </xf>
    <xf numFmtId="0" fontId="6" fillId="6" borderId="6" xfId="1" applyFont="1" applyFill="1" applyBorder="1" applyAlignment="1" applyProtection="1">
      <alignment vertical="center"/>
      <protection hidden="1"/>
    </xf>
    <xf numFmtId="0" fontId="6" fillId="6" borderId="7" xfId="1" applyFont="1" applyFill="1" applyBorder="1" applyAlignment="1" applyProtection="1">
      <alignment vertical="center"/>
      <protection hidden="1"/>
    </xf>
    <xf numFmtId="0" fontId="6" fillId="6" borderId="9" xfId="1" applyFont="1" applyFill="1" applyBorder="1" applyAlignment="1" applyProtection="1">
      <alignment vertical="center"/>
      <protection hidden="1"/>
    </xf>
    <xf numFmtId="0" fontId="6" fillId="6" borderId="0" xfId="1" applyFont="1" applyFill="1" applyBorder="1" applyAlignment="1" applyProtection="1">
      <alignment vertical="center"/>
      <protection hidden="1"/>
    </xf>
    <xf numFmtId="0" fontId="6" fillId="6" borderId="11" xfId="1" applyFont="1" applyFill="1" applyBorder="1" applyAlignment="1" applyProtection="1">
      <alignment vertical="center"/>
      <protection hidden="1"/>
    </xf>
    <xf numFmtId="0" fontId="6" fillId="6" borderId="12" xfId="1" applyFont="1" applyFill="1" applyBorder="1" applyAlignment="1" applyProtection="1">
      <alignment vertical="center"/>
      <protection hidden="1"/>
    </xf>
    <xf numFmtId="0" fontId="6" fillId="6" borderId="13" xfId="1" applyFont="1" applyFill="1" applyBorder="1" applyAlignment="1" applyProtection="1">
      <alignment vertical="center"/>
      <protection hidden="1"/>
    </xf>
    <xf numFmtId="0" fontId="6" fillId="6" borderId="7" xfId="1" applyFont="1" applyFill="1" applyBorder="1" applyAlignment="1" applyProtection="1">
      <alignment horizontal="right" vertical="center"/>
      <protection hidden="1"/>
    </xf>
    <xf numFmtId="0" fontId="6" fillId="6" borderId="8" xfId="1" applyFont="1" applyFill="1" applyBorder="1" applyAlignment="1" applyProtection="1">
      <alignment horizontal="left" vertical="center" indent="3"/>
      <protection hidden="1"/>
    </xf>
    <xf numFmtId="0" fontId="6" fillId="6" borderId="10" xfId="1" applyFont="1" applyFill="1" applyBorder="1" applyAlignment="1" applyProtection="1">
      <alignment horizontal="left" vertical="center" indent="3"/>
      <protection hidden="1"/>
    </xf>
    <xf numFmtId="1" fontId="6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" fillId="0" borderId="0" xfId="0" applyFont="1" applyFill="1" applyBorder="1" applyAlignment="1" applyProtection="1">
      <alignment horizontal="right" vertical="center"/>
      <protection locked="0" hidden="1"/>
    </xf>
    <xf numFmtId="169" fontId="2" fillId="6" borderId="2" xfId="0" applyNumberFormat="1" applyFont="1" applyFill="1" applyBorder="1" applyAlignment="1" applyProtection="1">
      <alignment vertical="center"/>
    </xf>
    <xf numFmtId="0" fontId="9" fillId="3" borderId="0" xfId="0" applyFont="1" applyFill="1" applyBorder="1" applyAlignment="1" applyProtection="1">
      <alignment horizontal="center" vertical="center"/>
      <protection hidden="1"/>
    </xf>
    <xf numFmtId="0" fontId="17" fillId="0" borderId="0" xfId="1" applyFont="1" applyFill="1" applyBorder="1" applyAlignment="1" applyProtection="1">
      <alignment horizontal="center" vertical="center"/>
      <protection hidden="1"/>
    </xf>
    <xf numFmtId="0" fontId="14" fillId="6" borderId="14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Border="1" applyAlignment="1" applyProtection="1">
      <alignment horizontal="center" vertical="center" wrapText="1"/>
      <protection hidden="1"/>
    </xf>
    <xf numFmtId="164" fontId="9" fillId="0" borderId="0" xfId="1" applyNumberFormat="1" applyFont="1" applyFill="1" applyBorder="1" applyAlignment="1" applyProtection="1">
      <alignment horizontal="center" vertical="center"/>
      <protection locked="0" hidden="1"/>
    </xf>
    <xf numFmtId="165" fontId="9" fillId="0" borderId="0" xfId="1" applyNumberFormat="1" applyFont="1" applyFill="1" applyBorder="1" applyAlignment="1" applyProtection="1">
      <alignment horizontal="center" vertical="center"/>
      <protection locked="0" hidden="1"/>
    </xf>
    <xf numFmtId="164" fontId="5" fillId="3" borderId="1" xfId="0" applyNumberFormat="1" applyFont="1" applyFill="1" applyBorder="1" applyAlignment="1" applyProtection="1">
      <alignment horizontal="left" vertical="center"/>
      <protection hidden="1"/>
    </xf>
    <xf numFmtId="164" fontId="5" fillId="3" borderId="2" xfId="0" applyNumberFormat="1" applyFont="1" applyFill="1" applyBorder="1" applyAlignment="1" applyProtection="1">
      <alignment horizontal="left" vertical="center"/>
      <protection hidden="1"/>
    </xf>
  </cellXfs>
  <cellStyles count="4">
    <cellStyle name="Hyperlink" xfId="2" builtinId="8"/>
    <cellStyle name="Normal" xfId="0" builtinId="0"/>
    <cellStyle name="Normal 2" xfId="1" xr:uid="{00000000-0005-0000-0000-000002000000}"/>
    <cellStyle name="Normal 3" xfId="3" xr:uid="{00000000-0005-0000-0000-000003000000}"/>
  </cellStyles>
  <dxfs count="1">
    <dxf>
      <font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C70D47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70D47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E1F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  <color rgb="FFEAEAEA"/>
      <color rgb="FFDDDDDD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checked="Checked" firstButton="1" fmlaLink="$T$2" lockText="1" noThreeD="1"/>
</file>

<file path=xl/ctrlProps/ctrlProp2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819150</xdr:colOff>
      <xdr:row>1</xdr:row>
      <xdr:rowOff>149224</xdr:rowOff>
    </xdr:from>
    <xdr:to>
      <xdr:col>16</xdr:col>
      <xdr:colOff>120649</xdr:colOff>
      <xdr:row>3</xdr:row>
      <xdr:rowOff>193447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0525" y="311149"/>
          <a:ext cx="2044699" cy="615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9526</xdr:colOff>
      <xdr:row>2</xdr:row>
      <xdr:rowOff>9524</xdr:rowOff>
    </xdr:from>
    <xdr:to>
      <xdr:col>6</xdr:col>
      <xdr:colOff>904876</xdr:colOff>
      <xdr:row>2</xdr:row>
      <xdr:rowOff>361949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086226" y="361949"/>
          <a:ext cx="4733925" cy="352425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>
              <a:solidFill>
                <a:srgbClr val="FFFFFF"/>
              </a:solidFill>
              <a:latin typeface="Calibri" panose="020F0502020204030204" pitchFamily="34" charset="0"/>
              <a:cs typeface="Calibri" panose="020F0502020204030204" pitchFamily="34" charset="0"/>
            </a:rPr>
            <a:t>Account   |   Customer</a:t>
          </a:r>
        </a:p>
      </xdr:txBody>
    </xdr:sp>
    <xdr:clientData/>
  </xdr:twoCellAnchor>
  <xdr:twoCellAnchor>
    <xdr:from>
      <xdr:col>3</xdr:col>
      <xdr:colOff>9525</xdr:colOff>
      <xdr:row>4</xdr:row>
      <xdr:rowOff>0</xdr:rowOff>
    </xdr:from>
    <xdr:to>
      <xdr:col>6</xdr:col>
      <xdr:colOff>904875</xdr:colOff>
      <xdr:row>4</xdr:row>
      <xdr:rowOff>371475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086225" y="1114425"/>
          <a:ext cx="4733925" cy="371475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>
              <a:solidFill>
                <a:srgbClr val="FFFFFF"/>
              </a:solidFill>
              <a:latin typeface="Calibri" panose="020F0502020204030204" pitchFamily="34" charset="0"/>
              <a:cs typeface="Calibri" panose="020F0502020204030204" pitchFamily="34" charset="0"/>
            </a:rPr>
            <a:t>Rates effective date</a:t>
          </a:r>
        </a:p>
        <a:p>
          <a:pPr algn="ctr"/>
          <a:endParaRPr lang="en-GB" sz="1400">
            <a:solidFill>
              <a:srgbClr val="FFFFFF"/>
            </a:solidFill>
          </a:endParaRPr>
        </a:p>
      </xdr:txBody>
    </xdr:sp>
    <xdr:clientData/>
  </xdr:twoCellAnchor>
  <xdr:twoCellAnchor>
    <xdr:from>
      <xdr:col>13</xdr:col>
      <xdr:colOff>9525</xdr:colOff>
      <xdr:row>4</xdr:row>
      <xdr:rowOff>0</xdr:rowOff>
    </xdr:from>
    <xdr:to>
      <xdr:col>16</xdr:col>
      <xdr:colOff>904875</xdr:colOff>
      <xdr:row>4</xdr:row>
      <xdr:rowOff>371475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4325600" y="1114425"/>
          <a:ext cx="3638550" cy="371475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>
              <a:solidFill>
                <a:srgbClr val="FFFFFF"/>
              </a:solidFill>
              <a:latin typeface="Calibri" panose="020F0502020204030204" pitchFamily="34" charset="0"/>
              <a:cs typeface="Calibri" panose="020F0502020204030204" pitchFamily="34" charset="0"/>
            </a:rPr>
            <a:t>Reckoner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476250</xdr:colOff>
          <xdr:row>3</xdr:row>
          <xdr:rowOff>285750</xdr:rowOff>
        </xdr:from>
        <xdr:to>
          <xdr:col>10</xdr:col>
          <xdr:colOff>885825</xdr:colOff>
          <xdr:row>4</xdr:row>
          <xdr:rowOff>247650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Use a total weight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476250</xdr:colOff>
          <xdr:row>2</xdr:row>
          <xdr:rowOff>142875</xdr:rowOff>
        </xdr:from>
        <xdr:to>
          <xdr:col>10</xdr:col>
          <xdr:colOff>885825</xdr:colOff>
          <xdr:row>3</xdr:row>
          <xdr:rowOff>104775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Use an item weight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ABCustom">
  <a:themeElements>
    <a:clrScheme name="AB Custom">
      <a:dk1>
        <a:srgbClr val="C70D47"/>
      </a:dk1>
      <a:lt1>
        <a:srgbClr val="FFE1F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C110"/>
  <sheetViews>
    <sheetView showGridLines="0" showRowColHeaders="0" tabSelected="1" zoomScaleNormal="100" workbookViewId="0">
      <selection activeCell="D6" sqref="D6:G6"/>
    </sheetView>
  </sheetViews>
  <sheetFormatPr defaultColWidth="0" defaultRowHeight="12.75" customHeight="1" zeroHeight="1" x14ac:dyDescent="0.2"/>
  <cols>
    <col min="1" max="2" width="5.7109375" style="3" customWidth="1"/>
    <col min="3" max="3" width="18" style="72" hidden="1" customWidth="1"/>
    <col min="4" max="4" width="15.7109375" style="3" customWidth="1"/>
    <col min="5" max="5" width="28.140625" style="3" customWidth="1"/>
    <col min="6" max="17" width="13.7109375" style="3" customWidth="1"/>
    <col min="18" max="19" width="5.7109375" style="3" customWidth="1"/>
    <col min="20" max="25" width="15.7109375" style="3" hidden="1" customWidth="1"/>
    <col min="26" max="28" width="9.140625" style="3" hidden="1" customWidth="1"/>
    <col min="29" max="29" width="9.140625" style="4" hidden="1" customWidth="1"/>
    <col min="30" max="16384" width="9.140625" style="3" hidden="1"/>
  </cols>
  <sheetData>
    <row r="1" spans="1:29" x14ac:dyDescent="0.2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9" s="6" customFormat="1" ht="15" customHeight="1" thickBot="1" x14ac:dyDescent="0.25">
      <c r="A2" s="5"/>
      <c r="C2" s="8"/>
      <c r="D2" s="9"/>
      <c r="N2" s="10"/>
      <c r="P2" s="11"/>
      <c r="Q2" s="10"/>
      <c r="R2" s="96"/>
      <c r="S2" s="12"/>
      <c r="T2" s="108">
        <v>1</v>
      </c>
      <c r="AC2" s="13"/>
    </row>
    <row r="3" spans="1:29" s="6" customFormat="1" ht="30" customHeight="1" x14ac:dyDescent="0.2">
      <c r="A3" s="5"/>
      <c r="C3" s="8"/>
      <c r="D3" s="114"/>
      <c r="E3" s="114"/>
      <c r="F3" s="114"/>
      <c r="G3" s="114"/>
      <c r="I3" s="98"/>
      <c r="J3" s="99"/>
      <c r="K3" s="105"/>
      <c r="L3" s="106"/>
      <c r="M3" s="15"/>
      <c r="N3" s="15"/>
      <c r="O3" s="15"/>
      <c r="P3" s="15"/>
      <c r="Q3" s="15"/>
      <c r="R3" s="15"/>
      <c r="S3" s="16"/>
      <c r="T3" s="79" t="s">
        <v>0</v>
      </c>
      <c r="U3" s="79" t="s">
        <v>126</v>
      </c>
      <c r="V3" s="79" t="s">
        <v>140</v>
      </c>
      <c r="AC3" s="13"/>
    </row>
    <row r="4" spans="1:29" s="6" customFormat="1" ht="30" customHeight="1" x14ac:dyDescent="0.2">
      <c r="A4" s="5"/>
      <c r="C4" s="8"/>
      <c r="D4" s="115" t="s">
        <v>155</v>
      </c>
      <c r="E4" s="115"/>
      <c r="F4" s="115"/>
      <c r="G4" s="115"/>
      <c r="I4" s="100"/>
      <c r="J4" s="101"/>
      <c r="K4" s="101"/>
      <c r="L4" s="107"/>
      <c r="M4" s="7"/>
      <c r="N4" s="14"/>
      <c r="O4" s="7"/>
      <c r="P4" s="14"/>
      <c r="Q4" s="7"/>
      <c r="R4" s="7"/>
      <c r="S4" s="16"/>
      <c r="T4" s="80" t="s">
        <v>124</v>
      </c>
      <c r="U4" s="80">
        <v>100</v>
      </c>
      <c r="V4" s="80">
        <f>IntQty</f>
        <v>0</v>
      </c>
      <c r="AC4" s="13"/>
    </row>
    <row r="5" spans="1:29" s="6" customFormat="1" ht="30" customHeight="1" thickBot="1" x14ac:dyDescent="0.25">
      <c r="A5" s="5"/>
      <c r="C5" s="8"/>
      <c r="D5" s="114"/>
      <c r="E5" s="114"/>
      <c r="F5" s="114"/>
      <c r="G5" s="114"/>
      <c r="I5" s="102"/>
      <c r="J5" s="103"/>
      <c r="K5" s="103"/>
      <c r="L5" s="104"/>
      <c r="M5" s="7"/>
      <c r="N5" s="7"/>
      <c r="O5" s="7"/>
      <c r="P5" s="7"/>
      <c r="Q5" s="7"/>
      <c r="R5" s="7"/>
      <c r="S5" s="16"/>
      <c r="T5" s="80" t="s">
        <v>13</v>
      </c>
      <c r="U5" s="80">
        <v>500</v>
      </c>
      <c r="V5" s="80">
        <f>UKQty</f>
        <v>0</v>
      </c>
      <c r="AC5" s="13"/>
    </row>
    <row r="6" spans="1:29" s="6" customFormat="1" ht="30" customHeight="1" x14ac:dyDescent="0.2">
      <c r="A6" s="5"/>
      <c r="C6" s="8"/>
      <c r="D6" s="116">
        <v>45679</v>
      </c>
      <c r="E6" s="116"/>
      <c r="F6" s="116"/>
      <c r="G6" s="116"/>
      <c r="H6" s="112" t="s">
        <v>154</v>
      </c>
      <c r="I6" s="112"/>
      <c r="J6" s="112"/>
      <c r="K6" s="112"/>
      <c r="L6" s="112"/>
      <c r="M6" s="112"/>
      <c r="N6" s="17"/>
      <c r="O6" s="17"/>
      <c r="P6" s="17"/>
      <c r="Q6" s="17"/>
      <c r="R6" s="17"/>
      <c r="S6" s="16"/>
      <c r="T6" s="80" t="s">
        <v>125</v>
      </c>
      <c r="U6" s="80">
        <v>2000</v>
      </c>
      <c r="V6" s="82">
        <f>V4+V5</f>
        <v>0</v>
      </c>
      <c r="AC6" s="13"/>
    </row>
    <row r="7" spans="1:29" s="19" customFormat="1" ht="30" customHeight="1" x14ac:dyDescent="0.25">
      <c r="A7" s="18"/>
      <c r="C7" s="20"/>
      <c r="D7" s="21" t="s">
        <v>15</v>
      </c>
      <c r="E7" s="21" t="s">
        <v>14</v>
      </c>
      <c r="F7" s="21" t="s">
        <v>0</v>
      </c>
      <c r="G7" s="21" t="s">
        <v>1</v>
      </c>
      <c r="H7" s="22" t="s">
        <v>17</v>
      </c>
      <c r="I7" s="21"/>
      <c r="J7" s="21"/>
      <c r="K7" s="23" t="s">
        <v>11</v>
      </c>
      <c r="L7" s="23" t="s">
        <v>12</v>
      </c>
      <c r="M7" s="23" t="s">
        <v>10</v>
      </c>
      <c r="N7" s="22" t="s">
        <v>16</v>
      </c>
      <c r="O7" s="22" t="s">
        <v>5</v>
      </c>
      <c r="P7" s="22" t="s">
        <v>9</v>
      </c>
      <c r="Q7" s="21"/>
      <c r="R7" s="24"/>
      <c r="S7" s="18"/>
      <c r="T7" s="80" t="s">
        <v>138</v>
      </c>
      <c r="U7" s="80">
        <v>5000</v>
      </c>
      <c r="AC7" s="25"/>
    </row>
    <row r="8" spans="1:29" s="19" customFormat="1" ht="6" customHeight="1" x14ac:dyDescent="0.25">
      <c r="A8" s="18"/>
      <c r="C8" s="20"/>
      <c r="S8" s="18"/>
      <c r="T8" s="80" t="s">
        <v>139</v>
      </c>
      <c r="U8" s="80">
        <v>30000</v>
      </c>
      <c r="AC8" s="25"/>
    </row>
    <row r="9" spans="1:29" s="19" customFormat="1" ht="6" customHeight="1" x14ac:dyDescent="0.25">
      <c r="A9" s="18"/>
      <c r="C9" s="20"/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6"/>
      <c r="R9" s="28"/>
      <c r="S9" s="18"/>
      <c r="T9" s="81"/>
      <c r="U9" s="80"/>
      <c r="AC9" s="25"/>
    </row>
    <row r="10" spans="1:29" s="19" customFormat="1" ht="30" customHeight="1" x14ac:dyDescent="0.25">
      <c r="A10" s="18"/>
      <c r="C10" s="29" t="s">
        <v>31</v>
      </c>
      <c r="D10" s="30" t="s">
        <v>141</v>
      </c>
      <c r="E10" s="31" t="s">
        <v>142</v>
      </c>
      <c r="F10" s="32" t="s">
        <v>144</v>
      </c>
      <c r="G10" s="33" t="s">
        <v>143</v>
      </c>
      <c r="H10" s="34"/>
      <c r="I10" s="117"/>
      <c r="J10" s="118"/>
      <c r="K10" s="92">
        <f>N29</f>
        <v>0</v>
      </c>
      <c r="L10" s="93">
        <f>N59</f>
        <v>0</v>
      </c>
      <c r="M10" s="92">
        <f>N106</f>
        <v>0</v>
      </c>
      <c r="N10" s="93">
        <f>SUM(K10:M10)</f>
        <v>0</v>
      </c>
      <c r="O10" s="92">
        <f>O108</f>
        <v>0</v>
      </c>
      <c r="P10" s="93">
        <f>N10+O10</f>
        <v>0</v>
      </c>
      <c r="Q10" s="26"/>
      <c r="R10" s="28"/>
      <c r="S10" s="18"/>
      <c r="T10" s="84">
        <v>0.2</v>
      </c>
      <c r="U10" s="83" t="e">
        <f>VLOOKUP($F$10,T4:U7,2,0)</f>
        <v>#N/A</v>
      </c>
      <c r="AC10" s="25"/>
    </row>
    <row r="11" spans="1:29" s="19" customFormat="1" ht="6" customHeight="1" x14ac:dyDescent="0.25">
      <c r="A11" s="18"/>
      <c r="C11" s="20"/>
      <c r="D11" s="26"/>
      <c r="E11" s="26"/>
      <c r="F11" s="26"/>
      <c r="G11" s="26"/>
      <c r="H11" s="26"/>
      <c r="I11" s="26"/>
      <c r="J11" s="26"/>
      <c r="K11" s="26"/>
      <c r="L11" s="35"/>
      <c r="M11" s="35"/>
      <c r="N11" s="35"/>
      <c r="O11" s="35"/>
      <c r="P11" s="35"/>
      <c r="Q11" s="35"/>
      <c r="R11" s="36"/>
      <c r="S11" s="18"/>
      <c r="AC11" s="25"/>
    </row>
    <row r="12" spans="1:29" s="38" customFormat="1" ht="6" customHeight="1" x14ac:dyDescent="0.2">
      <c r="A12" s="37"/>
      <c r="C12" s="20"/>
      <c r="S12" s="37"/>
      <c r="AC12" s="39"/>
    </row>
    <row r="13" spans="1:29" s="41" customFormat="1" ht="30" customHeight="1" x14ac:dyDescent="0.3">
      <c r="A13" s="40"/>
      <c r="C13" s="42"/>
      <c r="D13" s="43" t="str">
        <f>CONCATENATE("OVERSEAS DISTRIBUTION",IF(L29=0,"",CONCATENATE("   (",L29,IF(L29=1," item)"," items)"))))</f>
        <v>OVERSEAS DISTRIBUTION</v>
      </c>
      <c r="E13" s="44"/>
      <c r="F13" s="44"/>
      <c r="G13" s="44"/>
      <c r="H13" s="45"/>
      <c r="I13" s="44"/>
      <c r="J13" s="44"/>
      <c r="K13" s="44"/>
      <c r="L13" s="45"/>
      <c r="M13" s="45"/>
      <c r="N13" s="45"/>
      <c r="O13" s="45"/>
      <c r="P13" s="45"/>
      <c r="Q13" s="45"/>
      <c r="R13" s="78"/>
      <c r="S13" s="40"/>
      <c r="AC13" s="46"/>
    </row>
    <row r="14" spans="1:29" s="38" customFormat="1" ht="20.100000000000001" customHeight="1" x14ac:dyDescent="0.2">
      <c r="A14" s="37"/>
      <c r="C14" s="47"/>
      <c r="D14" s="48" t="s">
        <v>148</v>
      </c>
      <c r="E14" s="49"/>
      <c r="F14" s="50"/>
      <c r="G14" s="50" t="s">
        <v>18</v>
      </c>
      <c r="H14" s="50" t="s">
        <v>19</v>
      </c>
      <c r="I14" s="50" t="s">
        <v>20</v>
      </c>
      <c r="J14" s="50"/>
      <c r="K14" s="50" t="s">
        <v>153</v>
      </c>
      <c r="L14" s="50" t="s">
        <v>21</v>
      </c>
      <c r="M14" s="50"/>
      <c r="N14" s="50" t="s">
        <v>22</v>
      </c>
      <c r="O14" s="50" t="s">
        <v>5</v>
      </c>
      <c r="P14" s="50" t="s">
        <v>9</v>
      </c>
      <c r="Q14" s="50"/>
      <c r="R14" s="51"/>
      <c r="S14" s="37"/>
      <c r="AC14" s="39"/>
    </row>
    <row r="15" spans="1:29" s="38" customFormat="1" ht="15" customHeight="1" x14ac:dyDescent="0.2">
      <c r="A15" s="37"/>
      <c r="C15" s="47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S15" s="37"/>
      <c r="AC15" s="39"/>
    </row>
    <row r="16" spans="1:29" s="38" customFormat="1" ht="15" customHeight="1" x14ac:dyDescent="0.25">
      <c r="A16" s="37"/>
      <c r="C16" s="53" t="s">
        <v>32</v>
      </c>
      <c r="D16" s="54" t="s">
        <v>145</v>
      </c>
      <c r="E16" s="52"/>
      <c r="F16" s="52"/>
      <c r="G16" s="86">
        <v>5.5839999999999996</v>
      </c>
      <c r="H16" s="110">
        <v>0.60199999999999998</v>
      </c>
      <c r="I16" s="85">
        <f>IF($T$2=2,ROUND(((ItemWt/1000)*G16)+H16,2),IF(K16+L16&gt;0,ROUND((((K16/L16)*G16)+H16),2),0))</f>
        <v>0</v>
      </c>
      <c r="J16" s="97" t="str">
        <f>IF(I16=0,"",IF(U16&gt;0.1,"Invalid for weight",""))</f>
        <v/>
      </c>
      <c r="K16" s="95"/>
      <c r="L16" s="57"/>
      <c r="M16" s="52"/>
      <c r="N16" s="85">
        <f t="shared" ref="N16" si="0">$I16*L16</f>
        <v>0</v>
      </c>
      <c r="O16" s="85">
        <f t="shared" ref="O16" si="1">IF(T16="Y",VATFactor*N16,0)</f>
        <v>0</v>
      </c>
      <c r="P16" s="85">
        <f t="shared" ref="P16" si="2">N16+O16</f>
        <v>0</v>
      </c>
      <c r="Q16" s="52"/>
      <c r="S16" s="37"/>
      <c r="T16" s="28" t="s">
        <v>79</v>
      </c>
      <c r="U16" s="109" t="e">
        <f>IF($T$2=2,(ItemWt/1000),K16/L16)</f>
        <v>#DIV/0!</v>
      </c>
      <c r="AB16" s="39"/>
      <c r="AC16" s="39"/>
    </row>
    <row r="17" spans="1:29" s="38" customFormat="1" ht="15" customHeight="1" x14ac:dyDescent="0.25">
      <c r="A17" s="37"/>
      <c r="C17" s="53"/>
      <c r="D17" s="65" t="s">
        <v>149</v>
      </c>
      <c r="E17" s="52"/>
      <c r="F17" s="52"/>
      <c r="G17" s="86"/>
      <c r="H17" s="86"/>
      <c r="I17" s="85"/>
      <c r="J17" s="52"/>
      <c r="K17" s="113" t="str">
        <f>IF($T$2=1,"Input total weight and quantity","")</f>
        <v>Input total weight and quantity</v>
      </c>
      <c r="L17" s="113"/>
      <c r="M17" s="52"/>
      <c r="N17" s="52"/>
      <c r="O17" s="52"/>
      <c r="P17" s="52"/>
      <c r="Q17" s="52"/>
      <c r="S17" s="37"/>
      <c r="T17" s="28"/>
      <c r="U17" s="109"/>
      <c r="AB17" s="39"/>
      <c r="AC17" s="39"/>
    </row>
    <row r="18" spans="1:29" s="38" customFormat="1" ht="15" customHeight="1" x14ac:dyDescent="0.25">
      <c r="A18" s="37"/>
      <c r="C18" s="53"/>
      <c r="D18" s="65"/>
      <c r="E18" s="52"/>
      <c r="F18" s="52"/>
      <c r="G18" s="86"/>
      <c r="H18" s="86"/>
      <c r="I18" s="85"/>
      <c r="J18" s="52"/>
      <c r="K18" s="52"/>
      <c r="L18" s="52"/>
      <c r="M18" s="52"/>
      <c r="N18" s="52"/>
      <c r="O18" s="52"/>
      <c r="P18" s="52"/>
      <c r="Q18" s="52"/>
      <c r="S18" s="37"/>
      <c r="T18" s="28"/>
      <c r="U18" s="109"/>
      <c r="AB18" s="39"/>
      <c r="AC18" s="39"/>
    </row>
    <row r="19" spans="1:29" s="38" customFormat="1" ht="15" customHeight="1" x14ac:dyDescent="0.25">
      <c r="A19" s="37"/>
      <c r="C19" s="53" t="s">
        <v>33</v>
      </c>
      <c r="D19" s="54" t="s">
        <v>146</v>
      </c>
      <c r="E19" s="52"/>
      <c r="F19" s="52"/>
      <c r="G19" s="86">
        <v>5.4379999999999997</v>
      </c>
      <c r="H19" s="86">
        <v>0.66</v>
      </c>
      <c r="I19" s="85">
        <f>IF($T$2=2,ROUND(((ItemWt/1000)*G19)+H19,2),IF(K19+L19&gt;0,ROUND((((K19/L19)*G19)+H19),2),0))</f>
        <v>0</v>
      </c>
      <c r="J19" s="97" t="str">
        <f>IF(I19=0,"",IF(U19&gt;0.5,"Invalid for weight",""))</f>
        <v/>
      </c>
      <c r="K19" s="95"/>
      <c r="L19" s="57"/>
      <c r="M19" s="52"/>
      <c r="N19" s="85">
        <f t="shared" ref="N19" si="3">$I19*L19</f>
        <v>0</v>
      </c>
      <c r="O19" s="85">
        <f t="shared" ref="O19" si="4">IF(T19="Y",VATFactor*N19,0)</f>
        <v>0</v>
      </c>
      <c r="P19" s="85">
        <f t="shared" ref="P19" si="5">N19+O19</f>
        <v>0</v>
      </c>
      <c r="Q19" s="52"/>
      <c r="S19" s="37"/>
      <c r="T19" s="28" t="s">
        <v>79</v>
      </c>
      <c r="U19" s="109" t="e">
        <f>IF($T$2=2,(ItemWt/1000),K19/L19)</f>
        <v>#DIV/0!</v>
      </c>
      <c r="AB19" s="39"/>
      <c r="AC19" s="39"/>
    </row>
    <row r="20" spans="1:29" s="38" customFormat="1" ht="15" customHeight="1" x14ac:dyDescent="0.25">
      <c r="A20" s="37"/>
      <c r="C20" s="53"/>
      <c r="D20" s="65" t="s">
        <v>150</v>
      </c>
      <c r="E20" s="52"/>
      <c r="F20" s="52"/>
      <c r="G20" s="86"/>
      <c r="H20" s="86"/>
      <c r="I20" s="85"/>
      <c r="J20" s="52"/>
      <c r="K20" s="113" t="str">
        <f>IF($T$2=1,"Input total weight and quantity","")</f>
        <v>Input total weight and quantity</v>
      </c>
      <c r="L20" s="113"/>
      <c r="M20" s="52"/>
      <c r="N20" s="52"/>
      <c r="O20" s="52"/>
      <c r="P20" s="52"/>
      <c r="Q20" s="52"/>
      <c r="S20" s="37"/>
      <c r="T20" s="28"/>
      <c r="U20" s="109"/>
      <c r="AB20" s="39"/>
      <c r="AC20" s="39"/>
    </row>
    <row r="21" spans="1:29" s="38" customFormat="1" ht="15" customHeight="1" x14ac:dyDescent="0.25">
      <c r="A21" s="37"/>
      <c r="C21" s="53"/>
      <c r="D21" s="65"/>
      <c r="E21" s="52"/>
      <c r="F21" s="52"/>
      <c r="G21" s="86"/>
      <c r="H21" s="86"/>
      <c r="I21" s="85"/>
      <c r="J21" s="52"/>
      <c r="K21" s="52"/>
      <c r="L21" s="52"/>
      <c r="M21" s="52"/>
      <c r="N21" s="52"/>
      <c r="O21" s="52"/>
      <c r="P21" s="52"/>
      <c r="Q21" s="52"/>
      <c r="S21" s="37"/>
      <c r="T21" s="28"/>
      <c r="U21" s="109"/>
      <c r="AB21" s="39"/>
      <c r="AC21" s="39"/>
    </row>
    <row r="22" spans="1:29" s="38" customFormat="1" ht="15" customHeight="1" x14ac:dyDescent="0.25">
      <c r="A22" s="37"/>
      <c r="C22" s="53" t="s">
        <v>34</v>
      </c>
      <c r="D22" s="54" t="s">
        <v>147</v>
      </c>
      <c r="E22" s="52"/>
      <c r="F22" s="52"/>
      <c r="G22" s="86">
        <v>5.6429999999999998</v>
      </c>
      <c r="H22" s="86">
        <v>2.3639999999999999</v>
      </c>
      <c r="I22" s="85">
        <f>IF($T$2=2,ROUND(((ItemWt/1000)*G22)+H22,2),IF(K22+L22&gt;0,ROUND((((K22/L22)*G22)+H22),2),0))</f>
        <v>0</v>
      </c>
      <c r="J22" s="97" t="str">
        <f>IF(I22=0,"",IF(U22&gt;2,"Invalid for weight",""))</f>
        <v/>
      </c>
      <c r="K22" s="95"/>
      <c r="L22" s="57"/>
      <c r="M22" s="52"/>
      <c r="N22" s="85">
        <f t="shared" ref="N22" si="6">$I22*L22</f>
        <v>0</v>
      </c>
      <c r="O22" s="85">
        <f t="shared" ref="O22" si="7">IF(T22="Y",VATFactor*N22,0)</f>
        <v>0</v>
      </c>
      <c r="P22" s="85">
        <f t="shared" ref="P22" si="8">N22+O22</f>
        <v>0</v>
      </c>
      <c r="Q22" s="52"/>
      <c r="S22" s="37"/>
      <c r="T22" s="28" t="s">
        <v>79</v>
      </c>
      <c r="U22" s="109" t="e">
        <f>IF($T$2=2,(ItemWt/1000),K22/L22)</f>
        <v>#DIV/0!</v>
      </c>
      <c r="AB22" s="39"/>
      <c r="AC22" s="39"/>
    </row>
    <row r="23" spans="1:29" s="38" customFormat="1" ht="15" hidden="1" customHeight="1" x14ac:dyDescent="0.2">
      <c r="A23" s="37"/>
      <c r="C23" s="47"/>
      <c r="D23" s="52"/>
      <c r="E23" s="52"/>
      <c r="F23" s="52"/>
      <c r="G23" s="73"/>
      <c r="H23" s="73"/>
      <c r="I23" s="52"/>
      <c r="J23" s="52"/>
      <c r="K23" s="52"/>
      <c r="L23" s="52"/>
      <c r="M23" s="52"/>
      <c r="N23" s="52"/>
      <c r="O23" s="52"/>
      <c r="P23" s="52"/>
      <c r="Q23" s="52"/>
      <c r="S23" s="37"/>
      <c r="AC23" s="39"/>
    </row>
    <row r="24" spans="1:29" s="38" customFormat="1" ht="15" hidden="1" customHeight="1" x14ac:dyDescent="0.2">
      <c r="A24" s="37"/>
      <c r="C24" s="47"/>
      <c r="D24" s="52"/>
      <c r="E24" s="52"/>
      <c r="F24" s="52"/>
      <c r="G24" s="73"/>
      <c r="H24" s="73"/>
      <c r="I24" s="52"/>
      <c r="J24" s="52"/>
      <c r="K24" s="52"/>
      <c r="L24" s="52"/>
      <c r="M24" s="52"/>
      <c r="N24" s="52"/>
      <c r="O24" s="52"/>
      <c r="P24" s="52"/>
      <c r="Q24" s="52"/>
      <c r="S24" s="37"/>
      <c r="AC24" s="39"/>
    </row>
    <row r="25" spans="1:29" s="38" customFormat="1" ht="15" customHeight="1" x14ac:dyDescent="0.2">
      <c r="A25" s="37"/>
      <c r="C25" s="47"/>
      <c r="D25" s="65" t="s">
        <v>151</v>
      </c>
      <c r="E25" s="52"/>
      <c r="F25" s="52"/>
      <c r="G25" s="73"/>
      <c r="H25" s="73"/>
      <c r="I25" s="52"/>
      <c r="J25" s="52"/>
      <c r="K25" s="113" t="str">
        <f>IF($T$2=1,"Input total weight and quantity","")</f>
        <v>Input total weight and quantity</v>
      </c>
      <c r="L25" s="113"/>
      <c r="M25" s="52"/>
      <c r="N25" s="52"/>
      <c r="O25" s="52"/>
      <c r="P25" s="52"/>
      <c r="Q25" s="52"/>
      <c r="S25" s="37"/>
      <c r="AC25" s="39"/>
    </row>
    <row r="26" spans="1:29" s="38" customFormat="1" ht="15" customHeight="1" x14ac:dyDescent="0.2">
      <c r="A26" s="37"/>
      <c r="C26" s="47"/>
      <c r="D26" s="65"/>
      <c r="E26" s="52"/>
      <c r="F26" s="52"/>
      <c r="G26" s="73"/>
      <c r="H26" s="73"/>
      <c r="I26" s="52"/>
      <c r="J26" s="52"/>
      <c r="K26" s="52"/>
      <c r="L26" s="52"/>
      <c r="M26" s="52"/>
      <c r="N26" s="52"/>
      <c r="O26" s="52"/>
      <c r="P26" s="52"/>
      <c r="Q26" s="52"/>
      <c r="S26" s="37"/>
      <c r="AC26" s="39"/>
    </row>
    <row r="27" spans="1:29" s="38" customFormat="1" ht="24.95" customHeight="1" x14ac:dyDescent="0.2">
      <c r="A27" s="37"/>
      <c r="C27" s="47"/>
      <c r="D27" s="111" t="s">
        <v>152</v>
      </c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S27" s="37"/>
      <c r="AC27" s="39"/>
    </row>
    <row r="28" spans="1:29" s="38" customFormat="1" ht="15" customHeight="1" x14ac:dyDescent="0.2">
      <c r="A28" s="37"/>
      <c r="C28" s="47"/>
      <c r="D28" s="52"/>
      <c r="E28" s="52"/>
      <c r="F28" s="52"/>
      <c r="G28" s="73"/>
      <c r="H28" s="73"/>
      <c r="I28" s="52"/>
      <c r="J28" s="52"/>
      <c r="K28" s="52"/>
      <c r="L28" s="52"/>
      <c r="M28" s="52"/>
      <c r="N28" s="52"/>
      <c r="O28" s="52"/>
      <c r="P28" s="52"/>
      <c r="Q28" s="52"/>
      <c r="S28" s="37"/>
      <c r="AC28" s="39"/>
    </row>
    <row r="29" spans="1:29" s="38" customFormat="1" ht="20.100000000000001" customHeight="1" x14ac:dyDescent="0.2">
      <c r="A29" s="37"/>
      <c r="C29" s="47"/>
      <c r="D29" s="61" t="s">
        <v>23</v>
      </c>
      <c r="E29" s="62"/>
      <c r="F29" s="62"/>
      <c r="G29" s="75"/>
      <c r="H29" s="75"/>
      <c r="I29" s="62"/>
      <c r="J29" s="63"/>
      <c r="K29" s="63"/>
      <c r="L29" s="62">
        <f>SUM(L14:L28)</f>
        <v>0</v>
      </c>
      <c r="M29" s="62"/>
      <c r="N29" s="94">
        <f>SUM(N14:N28)</f>
        <v>0</v>
      </c>
      <c r="O29" s="94">
        <f>SUM(O14:O28)</f>
        <v>0</v>
      </c>
      <c r="P29" s="94">
        <f>SUM(P14:P28)</f>
        <v>0</v>
      </c>
      <c r="Q29" s="62"/>
      <c r="R29" s="51"/>
      <c r="S29" s="37"/>
      <c r="AC29" s="39"/>
    </row>
    <row r="30" spans="1:29" s="19" customFormat="1" ht="15" hidden="1" customHeight="1" x14ac:dyDescent="0.25">
      <c r="A30" s="18"/>
      <c r="B30" s="38"/>
      <c r="C30" s="47"/>
      <c r="D30" s="64"/>
      <c r="G30" s="76"/>
      <c r="H30" s="76"/>
      <c r="S30" s="18"/>
      <c r="AC30" s="25"/>
    </row>
    <row r="31" spans="1:29" s="41" customFormat="1" ht="30" hidden="1" customHeight="1" x14ac:dyDescent="0.3">
      <c r="A31" s="40"/>
      <c r="C31" s="42"/>
      <c r="D31" s="88" t="str">
        <f>CONCATENATE("UK DISTRIBUTION",IF(L59=0,"",CONCATENATE("   (",L59,IF(L59=1," item)"," items)"))))</f>
        <v>UK DISTRIBUTION</v>
      </c>
      <c r="E31" s="89"/>
      <c r="F31" s="89"/>
      <c r="G31" s="90"/>
      <c r="H31" s="90"/>
      <c r="I31" s="91"/>
      <c r="J31" s="89"/>
      <c r="K31" s="89"/>
      <c r="L31" s="91"/>
      <c r="M31" s="91"/>
      <c r="N31" s="91"/>
      <c r="O31" s="91"/>
      <c r="P31" s="91"/>
      <c r="Q31" s="91"/>
      <c r="R31" s="78"/>
      <c r="S31" s="40"/>
      <c r="AC31" s="46"/>
    </row>
    <row r="32" spans="1:29" s="38" customFormat="1" ht="20.100000000000001" hidden="1" customHeight="1" x14ac:dyDescent="0.2">
      <c r="A32" s="37"/>
      <c r="C32" s="47"/>
      <c r="D32" s="61" t="s">
        <v>24</v>
      </c>
      <c r="E32" s="62"/>
      <c r="F32" s="62"/>
      <c r="G32" s="75" t="s">
        <v>18</v>
      </c>
      <c r="H32" s="75" t="s">
        <v>19</v>
      </c>
      <c r="I32" s="62" t="s">
        <v>20</v>
      </c>
      <c r="J32" s="62"/>
      <c r="K32" s="62"/>
      <c r="L32" s="62" t="s">
        <v>21</v>
      </c>
      <c r="M32" s="62"/>
      <c r="N32" s="62" t="s">
        <v>22</v>
      </c>
      <c r="O32" s="62" t="s">
        <v>5</v>
      </c>
      <c r="P32" s="62" t="s">
        <v>9</v>
      </c>
      <c r="Q32" s="62"/>
      <c r="R32" s="51"/>
      <c r="S32" s="37"/>
      <c r="AC32" s="39"/>
    </row>
    <row r="33" spans="1:29" s="38" customFormat="1" ht="15" hidden="1" customHeight="1" x14ac:dyDescent="0.2">
      <c r="A33" s="37"/>
      <c r="C33" s="47"/>
      <c r="D33" s="52"/>
      <c r="E33" s="52"/>
      <c r="F33" s="52"/>
      <c r="G33" s="73"/>
      <c r="H33" s="73"/>
      <c r="I33" s="52"/>
      <c r="J33" s="52"/>
      <c r="K33" s="52"/>
      <c r="L33" s="52"/>
      <c r="M33" s="52"/>
      <c r="N33" s="52"/>
      <c r="O33" s="52"/>
      <c r="P33" s="52"/>
      <c r="Q33" s="52"/>
      <c r="S33" s="37"/>
      <c r="AC33" s="39"/>
    </row>
    <row r="34" spans="1:29" s="38" customFormat="1" ht="15" hidden="1" customHeight="1" x14ac:dyDescent="0.2">
      <c r="A34" s="37"/>
      <c r="C34" s="60" t="s">
        <v>38</v>
      </c>
      <c r="D34" s="54" t="s">
        <v>83</v>
      </c>
      <c r="E34" s="52"/>
      <c r="F34" s="52"/>
      <c r="G34" s="73"/>
      <c r="H34" s="74"/>
      <c r="I34" s="56">
        <f t="shared" ref="I34:I57" si="9">ROUND((($H$10/1000)*G34)+H34,2)</f>
        <v>0</v>
      </c>
      <c r="J34" s="52"/>
      <c r="K34" s="52"/>
      <c r="L34" s="57"/>
      <c r="M34" s="52"/>
      <c r="N34" s="58">
        <f t="shared" ref="N34:N57" si="10">$I34*L34</f>
        <v>0</v>
      </c>
      <c r="O34" s="59">
        <f t="shared" ref="O34:O57" si="11">IF(T34="Y",VATFactor*N34,0)</f>
        <v>0</v>
      </c>
      <c r="P34" s="55">
        <f t="shared" ref="P34:P57" si="12">N34+O34</f>
        <v>0</v>
      </c>
      <c r="Q34" s="52"/>
      <c r="S34" s="37"/>
      <c r="T34" s="28" t="s">
        <v>8</v>
      </c>
      <c r="AC34" s="39"/>
    </row>
    <row r="35" spans="1:29" s="38" customFormat="1" ht="15" hidden="1" customHeight="1" x14ac:dyDescent="0.2">
      <c r="A35" s="37"/>
      <c r="C35" s="60" t="s">
        <v>37</v>
      </c>
      <c r="D35" s="54" t="s">
        <v>82</v>
      </c>
      <c r="E35" s="52"/>
      <c r="F35" s="52"/>
      <c r="G35" s="73"/>
      <c r="H35" s="74"/>
      <c r="I35" s="56">
        <f t="shared" si="9"/>
        <v>0</v>
      </c>
      <c r="J35" s="52"/>
      <c r="K35" s="52"/>
      <c r="L35" s="57"/>
      <c r="M35" s="52"/>
      <c r="N35" s="58">
        <f t="shared" si="10"/>
        <v>0</v>
      </c>
      <c r="O35" s="59">
        <f t="shared" si="11"/>
        <v>0</v>
      </c>
      <c r="P35" s="55">
        <f t="shared" si="12"/>
        <v>0</v>
      </c>
      <c r="Q35" s="52"/>
      <c r="S35" s="37"/>
      <c r="T35" s="28" t="s">
        <v>8</v>
      </c>
      <c r="AC35" s="39"/>
    </row>
    <row r="36" spans="1:29" s="38" customFormat="1" ht="15" hidden="1" customHeight="1" x14ac:dyDescent="0.2">
      <c r="A36" s="37"/>
      <c r="C36" s="60" t="s">
        <v>42</v>
      </c>
      <c r="D36" s="54" t="s">
        <v>87</v>
      </c>
      <c r="E36" s="52"/>
      <c r="F36" s="52"/>
      <c r="G36" s="73"/>
      <c r="H36" s="74"/>
      <c r="I36" s="56">
        <f t="shared" si="9"/>
        <v>0</v>
      </c>
      <c r="J36" s="52"/>
      <c r="K36" s="52"/>
      <c r="L36" s="57"/>
      <c r="M36" s="52"/>
      <c r="N36" s="58">
        <f t="shared" si="10"/>
        <v>0</v>
      </c>
      <c r="O36" s="59">
        <f t="shared" si="11"/>
        <v>0</v>
      </c>
      <c r="P36" s="55">
        <f t="shared" si="12"/>
        <v>0</v>
      </c>
      <c r="Q36" s="52"/>
      <c r="S36" s="37"/>
      <c r="T36" s="28" t="s">
        <v>8</v>
      </c>
      <c r="AC36" s="39"/>
    </row>
    <row r="37" spans="1:29" s="38" customFormat="1" ht="15" hidden="1" customHeight="1" x14ac:dyDescent="0.2">
      <c r="A37" s="37"/>
      <c r="C37" s="60" t="s">
        <v>44</v>
      </c>
      <c r="D37" s="54" t="s">
        <v>89</v>
      </c>
      <c r="E37" s="52"/>
      <c r="F37" s="52"/>
      <c r="G37" s="73"/>
      <c r="H37" s="74"/>
      <c r="I37" s="56">
        <f t="shared" si="9"/>
        <v>0</v>
      </c>
      <c r="J37" s="52"/>
      <c r="K37" s="52"/>
      <c r="L37" s="57"/>
      <c r="M37" s="52"/>
      <c r="N37" s="58">
        <f t="shared" si="10"/>
        <v>0</v>
      </c>
      <c r="O37" s="59">
        <f t="shared" si="11"/>
        <v>0</v>
      </c>
      <c r="P37" s="55">
        <f t="shared" si="12"/>
        <v>0</v>
      </c>
      <c r="Q37" s="52"/>
      <c r="S37" s="37"/>
      <c r="T37" s="28" t="s">
        <v>8</v>
      </c>
      <c r="AC37" s="39"/>
    </row>
    <row r="38" spans="1:29" s="38" customFormat="1" ht="15" hidden="1" customHeight="1" x14ac:dyDescent="0.2">
      <c r="A38" s="37"/>
      <c r="C38" s="60" t="s">
        <v>46</v>
      </c>
      <c r="D38" s="54" t="s">
        <v>91</v>
      </c>
      <c r="E38" s="52"/>
      <c r="F38" s="52"/>
      <c r="G38" s="73"/>
      <c r="H38" s="74"/>
      <c r="I38" s="56">
        <f t="shared" si="9"/>
        <v>0</v>
      </c>
      <c r="J38" s="52"/>
      <c r="K38" s="52"/>
      <c r="L38" s="57"/>
      <c r="M38" s="52"/>
      <c r="N38" s="58">
        <f t="shared" si="10"/>
        <v>0</v>
      </c>
      <c r="O38" s="59">
        <f t="shared" si="11"/>
        <v>0</v>
      </c>
      <c r="P38" s="55">
        <f t="shared" si="12"/>
        <v>0</v>
      </c>
      <c r="Q38" s="52"/>
      <c r="S38" s="37"/>
      <c r="T38" s="28" t="s">
        <v>8</v>
      </c>
      <c r="AC38" s="39"/>
    </row>
    <row r="39" spans="1:29" s="38" customFormat="1" ht="15" hidden="1" customHeight="1" x14ac:dyDescent="0.2">
      <c r="A39" s="37"/>
      <c r="C39" s="60" t="s">
        <v>36</v>
      </c>
      <c r="D39" s="54" t="s">
        <v>81</v>
      </c>
      <c r="E39" s="52"/>
      <c r="F39" s="52"/>
      <c r="G39" s="73"/>
      <c r="H39" s="74"/>
      <c r="I39" s="56">
        <f t="shared" si="9"/>
        <v>0</v>
      </c>
      <c r="J39" s="52"/>
      <c r="K39" s="52"/>
      <c r="L39" s="57"/>
      <c r="M39" s="52"/>
      <c r="N39" s="58">
        <f t="shared" si="10"/>
        <v>0</v>
      </c>
      <c r="O39" s="59">
        <f t="shared" si="11"/>
        <v>0</v>
      </c>
      <c r="P39" s="55">
        <f t="shared" si="12"/>
        <v>0</v>
      </c>
      <c r="Q39" s="52"/>
      <c r="S39" s="37"/>
      <c r="T39" s="28" t="s">
        <v>8</v>
      </c>
      <c r="AC39" s="39"/>
    </row>
    <row r="40" spans="1:29" s="38" customFormat="1" ht="15" hidden="1" customHeight="1" x14ac:dyDescent="0.2">
      <c r="A40" s="37"/>
      <c r="C40" s="60" t="s">
        <v>41</v>
      </c>
      <c r="D40" s="54" t="s">
        <v>86</v>
      </c>
      <c r="E40" s="52"/>
      <c r="F40" s="52"/>
      <c r="G40" s="73"/>
      <c r="H40" s="74"/>
      <c r="I40" s="56">
        <f t="shared" si="9"/>
        <v>0</v>
      </c>
      <c r="J40" s="52"/>
      <c r="K40" s="52"/>
      <c r="L40" s="57"/>
      <c r="M40" s="52"/>
      <c r="N40" s="58">
        <f t="shared" si="10"/>
        <v>0</v>
      </c>
      <c r="O40" s="59">
        <f t="shared" si="11"/>
        <v>0</v>
      </c>
      <c r="P40" s="55">
        <f t="shared" si="12"/>
        <v>0</v>
      </c>
      <c r="Q40" s="52"/>
      <c r="S40" s="37"/>
      <c r="T40" s="28" t="s">
        <v>8</v>
      </c>
      <c r="AC40" s="39"/>
    </row>
    <row r="41" spans="1:29" s="38" customFormat="1" ht="15" hidden="1" customHeight="1" x14ac:dyDescent="0.2">
      <c r="A41" s="37"/>
      <c r="C41" s="60" t="s">
        <v>35</v>
      </c>
      <c r="D41" s="54" t="s">
        <v>80</v>
      </c>
      <c r="E41" s="52"/>
      <c r="F41" s="52"/>
      <c r="G41" s="73"/>
      <c r="H41" s="74"/>
      <c r="I41" s="56">
        <f t="shared" si="9"/>
        <v>0</v>
      </c>
      <c r="J41" s="52"/>
      <c r="K41" s="52"/>
      <c r="L41" s="57"/>
      <c r="M41" s="52"/>
      <c r="N41" s="58">
        <f t="shared" si="10"/>
        <v>0</v>
      </c>
      <c r="O41" s="59">
        <f t="shared" si="11"/>
        <v>0</v>
      </c>
      <c r="P41" s="55">
        <f t="shared" si="12"/>
        <v>0</v>
      </c>
      <c r="Q41" s="52"/>
      <c r="S41" s="37"/>
      <c r="T41" s="28" t="s">
        <v>8</v>
      </c>
      <c r="AC41" s="39"/>
    </row>
    <row r="42" spans="1:29" s="38" customFormat="1" ht="15" hidden="1" customHeight="1" x14ac:dyDescent="0.2">
      <c r="A42" s="37"/>
      <c r="C42" s="60" t="s">
        <v>40</v>
      </c>
      <c r="D42" s="54" t="s">
        <v>85</v>
      </c>
      <c r="E42" s="52"/>
      <c r="F42" s="52"/>
      <c r="G42" s="73"/>
      <c r="H42" s="74"/>
      <c r="I42" s="56">
        <f t="shared" si="9"/>
        <v>0</v>
      </c>
      <c r="J42" s="52"/>
      <c r="K42" s="52"/>
      <c r="L42" s="57"/>
      <c r="M42" s="52"/>
      <c r="N42" s="58">
        <f t="shared" si="10"/>
        <v>0</v>
      </c>
      <c r="O42" s="59">
        <f t="shared" si="11"/>
        <v>0</v>
      </c>
      <c r="P42" s="55">
        <f t="shared" si="12"/>
        <v>0</v>
      </c>
      <c r="Q42" s="52"/>
      <c r="S42" s="37"/>
      <c r="T42" s="28" t="s">
        <v>8</v>
      </c>
      <c r="AC42" s="39"/>
    </row>
    <row r="43" spans="1:29" s="38" customFormat="1" ht="15" hidden="1" customHeight="1" x14ac:dyDescent="0.2">
      <c r="A43" s="37"/>
      <c r="C43" s="60" t="s">
        <v>43</v>
      </c>
      <c r="D43" s="54" t="s">
        <v>88</v>
      </c>
      <c r="E43" s="52"/>
      <c r="F43" s="52"/>
      <c r="G43" s="73"/>
      <c r="H43" s="74"/>
      <c r="I43" s="56">
        <f t="shared" si="9"/>
        <v>0</v>
      </c>
      <c r="J43" s="52"/>
      <c r="K43" s="52"/>
      <c r="L43" s="57"/>
      <c r="M43" s="52"/>
      <c r="N43" s="58">
        <f t="shared" si="10"/>
        <v>0</v>
      </c>
      <c r="O43" s="59">
        <f t="shared" si="11"/>
        <v>0</v>
      </c>
      <c r="P43" s="55">
        <f t="shared" si="12"/>
        <v>0</v>
      </c>
      <c r="Q43" s="52"/>
      <c r="S43" s="37"/>
      <c r="T43" s="28" t="s">
        <v>8</v>
      </c>
      <c r="AC43" s="39"/>
    </row>
    <row r="44" spans="1:29" s="38" customFormat="1" ht="15" hidden="1" customHeight="1" x14ac:dyDescent="0.2">
      <c r="A44" s="37"/>
      <c r="C44" s="60" t="s">
        <v>45</v>
      </c>
      <c r="D44" s="54" t="s">
        <v>90</v>
      </c>
      <c r="E44" s="52"/>
      <c r="F44" s="52"/>
      <c r="G44" s="73"/>
      <c r="H44" s="74"/>
      <c r="I44" s="56">
        <f t="shared" si="9"/>
        <v>0</v>
      </c>
      <c r="J44" s="52"/>
      <c r="K44" s="52"/>
      <c r="L44" s="57"/>
      <c r="M44" s="52"/>
      <c r="N44" s="58">
        <f t="shared" si="10"/>
        <v>0</v>
      </c>
      <c r="O44" s="59">
        <f t="shared" si="11"/>
        <v>0</v>
      </c>
      <c r="P44" s="55">
        <f t="shared" si="12"/>
        <v>0</v>
      </c>
      <c r="Q44" s="52"/>
      <c r="S44" s="37"/>
      <c r="T44" s="28" t="s">
        <v>8</v>
      </c>
      <c r="AC44" s="39"/>
    </row>
    <row r="45" spans="1:29" s="38" customFormat="1" ht="15" hidden="1" customHeight="1" x14ac:dyDescent="0.2">
      <c r="A45" s="37"/>
      <c r="C45" s="60" t="s">
        <v>39</v>
      </c>
      <c r="D45" s="54" t="s">
        <v>84</v>
      </c>
      <c r="E45" s="52"/>
      <c r="F45" s="52"/>
      <c r="G45" s="73"/>
      <c r="H45" s="74"/>
      <c r="I45" s="56">
        <f>ROUND((($H$10/1000)*G45)+H45,2)</f>
        <v>0</v>
      </c>
      <c r="J45" s="52"/>
      <c r="K45" s="52"/>
      <c r="L45" s="57"/>
      <c r="M45" s="52"/>
      <c r="N45" s="58">
        <f>$I45*L45</f>
        <v>0</v>
      </c>
      <c r="O45" s="59">
        <f>IF(T45="Y",VATFactor*N45,0)</f>
        <v>0</v>
      </c>
      <c r="P45" s="55">
        <f>N45+O45</f>
        <v>0</v>
      </c>
      <c r="Q45" s="52"/>
      <c r="S45" s="37"/>
      <c r="T45" s="28" t="s">
        <v>8</v>
      </c>
      <c r="AC45" s="39"/>
    </row>
    <row r="46" spans="1:29" s="38" customFormat="1" ht="15" hidden="1" customHeight="1" x14ac:dyDescent="0.2">
      <c r="A46" s="37"/>
      <c r="C46" s="60" t="s">
        <v>50</v>
      </c>
      <c r="D46" s="54" t="s">
        <v>95</v>
      </c>
      <c r="E46" s="52"/>
      <c r="F46" s="52"/>
      <c r="G46" s="73"/>
      <c r="H46" s="74"/>
      <c r="I46" s="56">
        <f t="shared" si="9"/>
        <v>0</v>
      </c>
      <c r="J46" s="52"/>
      <c r="K46" s="52"/>
      <c r="L46" s="57"/>
      <c r="M46" s="52"/>
      <c r="N46" s="58">
        <f t="shared" si="10"/>
        <v>0</v>
      </c>
      <c r="O46" s="59">
        <f t="shared" si="11"/>
        <v>0</v>
      </c>
      <c r="P46" s="55">
        <f t="shared" si="12"/>
        <v>0</v>
      </c>
      <c r="Q46" s="52"/>
      <c r="S46" s="37"/>
      <c r="T46" s="28" t="s">
        <v>8</v>
      </c>
      <c r="AC46" s="39"/>
    </row>
    <row r="47" spans="1:29" s="38" customFormat="1" ht="15" hidden="1" customHeight="1" x14ac:dyDescent="0.2">
      <c r="A47" s="37"/>
      <c r="C47" s="60" t="s">
        <v>49</v>
      </c>
      <c r="D47" s="54" t="s">
        <v>94</v>
      </c>
      <c r="E47" s="52"/>
      <c r="F47" s="52"/>
      <c r="G47" s="73"/>
      <c r="H47" s="74"/>
      <c r="I47" s="56">
        <f t="shared" si="9"/>
        <v>0</v>
      </c>
      <c r="J47" s="52"/>
      <c r="K47" s="52"/>
      <c r="L47" s="57"/>
      <c r="M47" s="52"/>
      <c r="N47" s="58">
        <f t="shared" si="10"/>
        <v>0</v>
      </c>
      <c r="O47" s="59">
        <f t="shared" si="11"/>
        <v>0</v>
      </c>
      <c r="P47" s="55">
        <f t="shared" si="12"/>
        <v>0</v>
      </c>
      <c r="Q47" s="52"/>
      <c r="S47" s="37"/>
      <c r="T47" s="28" t="s">
        <v>8</v>
      </c>
      <c r="AC47" s="39"/>
    </row>
    <row r="48" spans="1:29" s="38" customFormat="1" ht="15" hidden="1" customHeight="1" x14ac:dyDescent="0.2">
      <c r="A48" s="37"/>
      <c r="C48" s="60" t="s">
        <v>54</v>
      </c>
      <c r="D48" s="54" t="s">
        <v>99</v>
      </c>
      <c r="E48" s="52"/>
      <c r="F48" s="52"/>
      <c r="G48" s="73"/>
      <c r="H48" s="74"/>
      <c r="I48" s="56">
        <f t="shared" si="9"/>
        <v>0</v>
      </c>
      <c r="J48" s="52"/>
      <c r="K48" s="52"/>
      <c r="L48" s="57"/>
      <c r="M48" s="52"/>
      <c r="N48" s="58">
        <f t="shared" si="10"/>
        <v>0</v>
      </c>
      <c r="O48" s="59">
        <f t="shared" si="11"/>
        <v>0</v>
      </c>
      <c r="P48" s="55">
        <f t="shared" si="12"/>
        <v>0</v>
      </c>
      <c r="Q48" s="52"/>
      <c r="S48" s="37"/>
      <c r="T48" s="28" t="s">
        <v>8</v>
      </c>
      <c r="AC48" s="39"/>
    </row>
    <row r="49" spans="1:29" s="38" customFormat="1" ht="15" hidden="1" customHeight="1" x14ac:dyDescent="0.2">
      <c r="A49" s="37"/>
      <c r="C49" s="60" t="s">
        <v>56</v>
      </c>
      <c r="D49" s="54" t="s">
        <v>101</v>
      </c>
      <c r="E49" s="52"/>
      <c r="F49" s="52"/>
      <c r="G49" s="73"/>
      <c r="H49" s="74"/>
      <c r="I49" s="56">
        <f t="shared" si="9"/>
        <v>0</v>
      </c>
      <c r="J49" s="52"/>
      <c r="K49" s="52"/>
      <c r="L49" s="57"/>
      <c r="M49" s="52"/>
      <c r="N49" s="58">
        <f t="shared" si="10"/>
        <v>0</v>
      </c>
      <c r="O49" s="59">
        <f t="shared" si="11"/>
        <v>0</v>
      </c>
      <c r="P49" s="55">
        <f t="shared" si="12"/>
        <v>0</v>
      </c>
      <c r="Q49" s="52"/>
      <c r="S49" s="37"/>
      <c r="T49" s="28" t="s">
        <v>8</v>
      </c>
      <c r="AC49" s="39"/>
    </row>
    <row r="50" spans="1:29" s="38" customFormat="1" ht="15" hidden="1" customHeight="1" x14ac:dyDescent="0.2">
      <c r="A50" s="37"/>
      <c r="C50" s="60" t="s">
        <v>58</v>
      </c>
      <c r="D50" s="54" t="s">
        <v>103</v>
      </c>
      <c r="E50" s="52"/>
      <c r="F50" s="52"/>
      <c r="G50" s="73"/>
      <c r="H50" s="74"/>
      <c r="I50" s="56">
        <f t="shared" si="9"/>
        <v>0</v>
      </c>
      <c r="J50" s="52"/>
      <c r="K50" s="52"/>
      <c r="L50" s="57"/>
      <c r="M50" s="52"/>
      <c r="N50" s="58">
        <f t="shared" si="10"/>
        <v>0</v>
      </c>
      <c r="O50" s="59">
        <f t="shared" si="11"/>
        <v>0</v>
      </c>
      <c r="P50" s="55">
        <f t="shared" si="12"/>
        <v>0</v>
      </c>
      <c r="Q50" s="52"/>
      <c r="S50" s="37"/>
      <c r="T50" s="28" t="s">
        <v>8</v>
      </c>
      <c r="AC50" s="39"/>
    </row>
    <row r="51" spans="1:29" s="38" customFormat="1" ht="15" hidden="1" customHeight="1" x14ac:dyDescent="0.2">
      <c r="A51" s="37"/>
      <c r="C51" s="60" t="s">
        <v>48</v>
      </c>
      <c r="D51" s="54" t="s">
        <v>93</v>
      </c>
      <c r="E51" s="52"/>
      <c r="F51" s="52"/>
      <c r="G51" s="73"/>
      <c r="H51" s="74"/>
      <c r="I51" s="56">
        <f t="shared" si="9"/>
        <v>0</v>
      </c>
      <c r="J51" s="52"/>
      <c r="K51" s="52"/>
      <c r="L51" s="57"/>
      <c r="M51" s="52"/>
      <c r="N51" s="58">
        <f t="shared" si="10"/>
        <v>0</v>
      </c>
      <c r="O51" s="59">
        <f t="shared" si="11"/>
        <v>0</v>
      </c>
      <c r="P51" s="55">
        <f t="shared" si="12"/>
        <v>0</v>
      </c>
      <c r="Q51" s="52"/>
      <c r="S51" s="37"/>
      <c r="T51" s="28" t="s">
        <v>8</v>
      </c>
      <c r="AC51" s="39"/>
    </row>
    <row r="52" spans="1:29" s="38" customFormat="1" ht="15" hidden="1" customHeight="1" x14ac:dyDescent="0.2">
      <c r="A52" s="37"/>
      <c r="C52" s="60" t="s">
        <v>53</v>
      </c>
      <c r="D52" s="54" t="s">
        <v>98</v>
      </c>
      <c r="E52" s="52"/>
      <c r="F52" s="52"/>
      <c r="G52" s="73"/>
      <c r="H52" s="74"/>
      <c r="I52" s="56">
        <f t="shared" si="9"/>
        <v>0</v>
      </c>
      <c r="J52" s="52"/>
      <c r="K52" s="52"/>
      <c r="L52" s="57"/>
      <c r="M52" s="52"/>
      <c r="N52" s="58">
        <f t="shared" si="10"/>
        <v>0</v>
      </c>
      <c r="O52" s="59">
        <f t="shared" si="11"/>
        <v>0</v>
      </c>
      <c r="P52" s="55">
        <f t="shared" si="12"/>
        <v>0</v>
      </c>
      <c r="Q52" s="52"/>
      <c r="S52" s="37"/>
      <c r="T52" s="28" t="s">
        <v>8</v>
      </c>
      <c r="AC52" s="39"/>
    </row>
    <row r="53" spans="1:29" s="38" customFormat="1" ht="15" hidden="1" customHeight="1" x14ac:dyDescent="0.2">
      <c r="A53" s="37"/>
      <c r="C53" s="60" t="s">
        <v>47</v>
      </c>
      <c r="D53" s="54" t="s">
        <v>92</v>
      </c>
      <c r="E53" s="52"/>
      <c r="F53" s="52"/>
      <c r="G53" s="73"/>
      <c r="H53" s="74"/>
      <c r="I53" s="56">
        <f t="shared" si="9"/>
        <v>0</v>
      </c>
      <c r="J53" s="52"/>
      <c r="K53" s="52"/>
      <c r="L53" s="57"/>
      <c r="M53" s="52"/>
      <c r="N53" s="58">
        <f t="shared" si="10"/>
        <v>0</v>
      </c>
      <c r="O53" s="59">
        <f t="shared" si="11"/>
        <v>0</v>
      </c>
      <c r="P53" s="55">
        <f t="shared" si="12"/>
        <v>0</v>
      </c>
      <c r="Q53" s="52"/>
      <c r="S53" s="37"/>
      <c r="T53" s="28" t="s">
        <v>8</v>
      </c>
      <c r="AC53" s="39"/>
    </row>
    <row r="54" spans="1:29" s="38" customFormat="1" ht="15" hidden="1" customHeight="1" x14ac:dyDescent="0.2">
      <c r="A54" s="37"/>
      <c r="C54" s="60" t="s">
        <v>52</v>
      </c>
      <c r="D54" s="54" t="s">
        <v>97</v>
      </c>
      <c r="E54" s="52"/>
      <c r="F54" s="52"/>
      <c r="G54" s="73"/>
      <c r="H54" s="74"/>
      <c r="I54" s="56">
        <f t="shared" si="9"/>
        <v>0</v>
      </c>
      <c r="J54" s="52"/>
      <c r="K54" s="52"/>
      <c r="L54" s="57"/>
      <c r="M54" s="52"/>
      <c r="N54" s="58">
        <f t="shared" si="10"/>
        <v>0</v>
      </c>
      <c r="O54" s="59">
        <f t="shared" si="11"/>
        <v>0</v>
      </c>
      <c r="P54" s="55">
        <f t="shared" si="12"/>
        <v>0</v>
      </c>
      <c r="Q54" s="52"/>
      <c r="S54" s="37"/>
      <c r="T54" s="28" t="s">
        <v>8</v>
      </c>
      <c r="AC54" s="39"/>
    </row>
    <row r="55" spans="1:29" s="38" customFormat="1" ht="15" hidden="1" customHeight="1" x14ac:dyDescent="0.2">
      <c r="A55" s="37"/>
      <c r="C55" s="60" t="s">
        <v>55</v>
      </c>
      <c r="D55" s="54" t="s">
        <v>100</v>
      </c>
      <c r="E55" s="52"/>
      <c r="F55" s="52"/>
      <c r="G55" s="73"/>
      <c r="H55" s="74"/>
      <c r="I55" s="56">
        <f t="shared" si="9"/>
        <v>0</v>
      </c>
      <c r="J55" s="52"/>
      <c r="K55" s="52"/>
      <c r="L55" s="57"/>
      <c r="M55" s="52"/>
      <c r="N55" s="58">
        <f t="shared" si="10"/>
        <v>0</v>
      </c>
      <c r="O55" s="59">
        <f t="shared" si="11"/>
        <v>0</v>
      </c>
      <c r="P55" s="55">
        <f t="shared" si="12"/>
        <v>0</v>
      </c>
      <c r="Q55" s="52"/>
      <c r="S55" s="37"/>
      <c r="T55" s="28" t="s">
        <v>8</v>
      </c>
      <c r="AC55" s="39"/>
    </row>
    <row r="56" spans="1:29" s="38" customFormat="1" ht="15" hidden="1" customHeight="1" x14ac:dyDescent="0.2">
      <c r="A56" s="37"/>
      <c r="C56" s="60" t="s">
        <v>57</v>
      </c>
      <c r="D56" s="54" t="s">
        <v>102</v>
      </c>
      <c r="E56" s="52"/>
      <c r="F56" s="52"/>
      <c r="G56" s="73"/>
      <c r="H56" s="74"/>
      <c r="I56" s="56">
        <f t="shared" si="9"/>
        <v>0</v>
      </c>
      <c r="J56" s="52"/>
      <c r="K56" s="52"/>
      <c r="L56" s="57"/>
      <c r="M56" s="52"/>
      <c r="N56" s="58">
        <f t="shared" si="10"/>
        <v>0</v>
      </c>
      <c r="O56" s="59">
        <f t="shared" si="11"/>
        <v>0</v>
      </c>
      <c r="P56" s="55">
        <f t="shared" si="12"/>
        <v>0</v>
      </c>
      <c r="Q56" s="52"/>
      <c r="S56" s="37"/>
      <c r="T56" s="28" t="s">
        <v>8</v>
      </c>
      <c r="AC56" s="39"/>
    </row>
    <row r="57" spans="1:29" s="38" customFormat="1" ht="15" hidden="1" customHeight="1" x14ac:dyDescent="0.2">
      <c r="A57" s="37"/>
      <c r="C57" s="60" t="s">
        <v>51</v>
      </c>
      <c r="D57" s="54" t="s">
        <v>96</v>
      </c>
      <c r="E57" s="52"/>
      <c r="F57" s="52"/>
      <c r="G57" s="73"/>
      <c r="H57" s="74"/>
      <c r="I57" s="56">
        <f t="shared" si="9"/>
        <v>0</v>
      </c>
      <c r="J57" s="52"/>
      <c r="K57" s="52"/>
      <c r="L57" s="57"/>
      <c r="M57" s="52"/>
      <c r="N57" s="58">
        <f t="shared" si="10"/>
        <v>0</v>
      </c>
      <c r="O57" s="59">
        <f t="shared" si="11"/>
        <v>0</v>
      </c>
      <c r="P57" s="55">
        <f t="shared" si="12"/>
        <v>0</v>
      </c>
      <c r="Q57" s="52"/>
      <c r="S57" s="37"/>
      <c r="T57" s="28" t="s">
        <v>8</v>
      </c>
      <c r="AC57" s="39"/>
    </row>
    <row r="58" spans="1:29" s="38" customFormat="1" ht="15" hidden="1" customHeight="1" x14ac:dyDescent="0.2">
      <c r="A58" s="37"/>
      <c r="C58" s="47"/>
      <c r="D58" s="52"/>
      <c r="E58" s="52"/>
      <c r="F58" s="52"/>
      <c r="G58" s="73"/>
      <c r="H58" s="73"/>
      <c r="I58" s="52"/>
      <c r="J58" s="52"/>
      <c r="K58" s="52"/>
      <c r="L58" s="52"/>
      <c r="M58" s="52"/>
      <c r="N58" s="52"/>
      <c r="O58" s="52"/>
      <c r="P58" s="52"/>
      <c r="Q58" s="52"/>
      <c r="S58" s="37"/>
      <c r="AC58" s="39"/>
    </row>
    <row r="59" spans="1:29" s="38" customFormat="1" ht="20.100000000000001" hidden="1" customHeight="1" x14ac:dyDescent="0.2">
      <c r="A59" s="37"/>
      <c r="C59" s="47"/>
      <c r="D59" s="61" t="s">
        <v>25</v>
      </c>
      <c r="E59" s="62"/>
      <c r="F59" s="62"/>
      <c r="G59" s="62"/>
      <c r="H59" s="62"/>
      <c r="I59" s="62"/>
      <c r="J59" s="63"/>
      <c r="K59" s="63"/>
      <c r="L59" s="62">
        <f>SUM(L33:L58)</f>
        <v>0</v>
      </c>
      <c r="M59" s="63"/>
      <c r="N59" s="63">
        <f>+SUM(N33:N58)</f>
        <v>0</v>
      </c>
      <c r="O59" s="63">
        <f>+SUM(O33:O58)</f>
        <v>0</v>
      </c>
      <c r="P59" s="63">
        <f>+SUM(P33:P58)</f>
        <v>0</v>
      </c>
      <c r="Q59" s="62"/>
      <c r="R59" s="51"/>
      <c r="S59" s="37"/>
      <c r="AC59" s="39"/>
    </row>
    <row r="60" spans="1:29" s="19" customFormat="1" ht="15" hidden="1" customHeight="1" x14ac:dyDescent="0.25">
      <c r="A60" s="18"/>
      <c r="C60" s="47"/>
      <c r="D60" s="64"/>
      <c r="S60" s="18"/>
      <c r="AC60" s="25"/>
    </row>
    <row r="61" spans="1:29" s="41" customFormat="1" ht="30" hidden="1" customHeight="1" x14ac:dyDescent="0.3">
      <c r="A61" s="40"/>
      <c r="C61" s="42"/>
      <c r="D61" s="88" t="s">
        <v>26</v>
      </c>
      <c r="E61" s="89"/>
      <c r="F61" s="89"/>
      <c r="G61" s="89"/>
      <c r="H61" s="91"/>
      <c r="I61" s="89"/>
      <c r="J61" s="89"/>
      <c r="K61" s="89"/>
      <c r="L61" s="91"/>
      <c r="M61" s="91"/>
      <c r="N61" s="91"/>
      <c r="O61" s="91"/>
      <c r="P61" s="91"/>
      <c r="Q61" s="91"/>
      <c r="R61" s="78"/>
      <c r="S61" s="40"/>
      <c r="AC61" s="46"/>
    </row>
    <row r="62" spans="1:29" s="38" customFormat="1" ht="20.100000000000001" hidden="1" customHeight="1" x14ac:dyDescent="0.2">
      <c r="A62" s="37"/>
      <c r="C62" s="47"/>
      <c r="D62" s="61" t="s">
        <v>3</v>
      </c>
      <c r="E62" s="62"/>
      <c r="F62" s="62"/>
      <c r="G62" s="62"/>
      <c r="H62" s="62" t="s">
        <v>28</v>
      </c>
      <c r="I62" s="62"/>
      <c r="J62" s="62"/>
      <c r="K62" s="62"/>
      <c r="L62" s="62" t="s">
        <v>21</v>
      </c>
      <c r="M62" s="62"/>
      <c r="N62" s="62" t="s">
        <v>16</v>
      </c>
      <c r="O62" s="62" t="s">
        <v>5</v>
      </c>
      <c r="P62" s="62" t="s">
        <v>9</v>
      </c>
      <c r="Q62" s="62"/>
      <c r="R62" s="51"/>
      <c r="S62" s="37"/>
      <c r="AC62" s="39"/>
    </row>
    <row r="63" spans="1:29" s="38" customFormat="1" ht="15" hidden="1" customHeight="1" x14ac:dyDescent="0.2">
      <c r="A63" s="37"/>
      <c r="C63" s="47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S63" s="37"/>
      <c r="AC63" s="39"/>
    </row>
    <row r="64" spans="1:29" s="38" customFormat="1" ht="15" hidden="1" customHeight="1" x14ac:dyDescent="0.2">
      <c r="A64" s="37"/>
      <c r="C64" s="47"/>
      <c r="D64" s="65" t="s">
        <v>132</v>
      </c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S64" s="37"/>
      <c r="AC64" s="39"/>
    </row>
    <row r="65" spans="1:29" s="38" customFormat="1" ht="15" hidden="1" customHeight="1" x14ac:dyDescent="0.2">
      <c r="A65" s="37"/>
      <c r="C65" s="47" t="s">
        <v>61</v>
      </c>
      <c r="D65" s="66" t="s">
        <v>105</v>
      </c>
      <c r="E65" s="52"/>
      <c r="F65" s="52"/>
      <c r="G65" s="52"/>
      <c r="H65" s="52" t="str">
        <f t="shared" ref="H65:H67" si="13">CONCATENATE(DOLLAR(U65,3)," per ",W65)</f>
        <v>£20.000 per File</v>
      </c>
      <c r="I65" s="52"/>
      <c r="J65" s="52"/>
      <c r="K65" s="52"/>
      <c r="L65" s="57"/>
      <c r="M65" s="52"/>
      <c r="N65" s="58">
        <f t="shared" ref="N65:N67" si="14">(L65/V65)*U65</f>
        <v>0</v>
      </c>
      <c r="O65" s="59">
        <f t="shared" ref="O65:O67" si="15">IF(T65="Y",VATFactor*N65,0)</f>
        <v>0</v>
      </c>
      <c r="P65" s="55">
        <f t="shared" ref="P65:P67" si="16">N65+O65</f>
        <v>0</v>
      </c>
      <c r="Q65" s="52"/>
      <c r="S65" s="67"/>
      <c r="T65" s="28" t="s">
        <v>8</v>
      </c>
      <c r="U65" s="77">
        <v>20</v>
      </c>
      <c r="V65" s="68">
        <v>1</v>
      </c>
      <c r="W65" s="68" t="s">
        <v>129</v>
      </c>
      <c r="AC65" s="39"/>
    </row>
    <row r="66" spans="1:29" s="38" customFormat="1" ht="15" hidden="1" customHeight="1" x14ac:dyDescent="0.2">
      <c r="A66" s="37"/>
      <c r="C66" s="47" t="s">
        <v>64</v>
      </c>
      <c r="D66" s="66" t="s">
        <v>106</v>
      </c>
      <c r="E66" s="52"/>
      <c r="F66" s="52"/>
      <c r="G66" s="52"/>
      <c r="H66" s="52" t="str">
        <f t="shared" si="13"/>
        <v>£30.000 per Item</v>
      </c>
      <c r="I66" s="52"/>
      <c r="J66" s="52"/>
      <c r="K66" s="52"/>
      <c r="L66" s="57"/>
      <c r="M66" s="52"/>
      <c r="N66" s="58">
        <f t="shared" si="14"/>
        <v>0</v>
      </c>
      <c r="O66" s="59">
        <f t="shared" si="15"/>
        <v>0</v>
      </c>
      <c r="P66" s="55">
        <f t="shared" si="16"/>
        <v>0</v>
      </c>
      <c r="Q66" s="52"/>
      <c r="S66" s="67"/>
      <c r="T66" s="28" t="s">
        <v>8</v>
      </c>
      <c r="U66" s="77">
        <v>30</v>
      </c>
      <c r="V66" s="68">
        <v>1</v>
      </c>
      <c r="W66" s="68" t="s">
        <v>127</v>
      </c>
      <c r="AC66" s="39"/>
    </row>
    <row r="67" spans="1:29" s="38" customFormat="1" ht="15" hidden="1" customHeight="1" x14ac:dyDescent="0.2">
      <c r="A67" s="37"/>
      <c r="C67" s="47" t="s">
        <v>65</v>
      </c>
      <c r="D67" s="66" t="s">
        <v>107</v>
      </c>
      <c r="E67" s="52"/>
      <c r="F67" s="52"/>
      <c r="G67" s="52"/>
      <c r="H67" s="52" t="str">
        <f t="shared" si="13"/>
        <v>£20.000 per '000</v>
      </c>
      <c r="I67" s="52"/>
      <c r="J67" s="52"/>
      <c r="K67" s="52"/>
      <c r="L67" s="57"/>
      <c r="M67" s="52"/>
      <c r="N67" s="58">
        <f t="shared" si="14"/>
        <v>0</v>
      </c>
      <c r="O67" s="59">
        <f t="shared" si="15"/>
        <v>0</v>
      </c>
      <c r="P67" s="55">
        <f t="shared" si="16"/>
        <v>0</v>
      </c>
      <c r="Q67" s="52"/>
      <c r="S67" s="67"/>
      <c r="T67" s="28" t="s">
        <v>8</v>
      </c>
      <c r="U67" s="77">
        <v>20</v>
      </c>
      <c r="V67" s="68">
        <v>1000</v>
      </c>
      <c r="W67" s="68" t="s">
        <v>4</v>
      </c>
      <c r="AC67" s="39"/>
    </row>
    <row r="68" spans="1:29" s="38" customFormat="1" ht="15" hidden="1" customHeight="1" x14ac:dyDescent="0.2">
      <c r="A68" s="37"/>
      <c r="C68" s="47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S68" s="37"/>
      <c r="U68" s="77"/>
      <c r="AC68" s="39"/>
    </row>
    <row r="69" spans="1:29" s="38" customFormat="1" ht="15" hidden="1" customHeight="1" x14ac:dyDescent="0.2">
      <c r="A69" s="37"/>
      <c r="C69" s="47"/>
      <c r="D69" s="65" t="s">
        <v>133</v>
      </c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S69" s="67"/>
      <c r="T69" s="28"/>
      <c r="U69" s="77"/>
      <c r="V69" s="68"/>
      <c r="W69" s="68"/>
      <c r="AC69" s="39"/>
    </row>
    <row r="70" spans="1:29" s="38" customFormat="1" ht="15" hidden="1" customHeight="1" x14ac:dyDescent="0.2">
      <c r="A70" s="37"/>
      <c r="C70" s="47" t="s">
        <v>73</v>
      </c>
      <c r="D70" s="66" t="s">
        <v>108</v>
      </c>
      <c r="E70" s="52"/>
      <c r="F70" s="52"/>
      <c r="G70" s="52"/>
      <c r="H70" s="52" t="str">
        <f t="shared" ref="H70:H71" si="17">CONCATENATE(DOLLAR(U70,3)," per ",W70)</f>
        <v>£24.000 per '000</v>
      </c>
      <c r="I70" s="52"/>
      <c r="J70" s="52"/>
      <c r="K70" s="52"/>
      <c r="L70" s="57"/>
      <c r="M70" s="52"/>
      <c r="N70" s="58">
        <f t="shared" ref="N70:N71" si="18">(L70/V70)*U70</f>
        <v>0</v>
      </c>
      <c r="O70" s="59">
        <f t="shared" ref="O70:O71" si="19">IF(T70="Y",VATFactor*N70,0)</f>
        <v>0</v>
      </c>
      <c r="P70" s="55">
        <f t="shared" ref="P70:P71" si="20">N70+O70</f>
        <v>0</v>
      </c>
      <c r="Q70" s="52"/>
      <c r="S70" s="67"/>
      <c r="T70" s="28" t="s">
        <v>8</v>
      </c>
      <c r="U70" s="77">
        <v>24</v>
      </c>
      <c r="V70" s="68">
        <v>1000</v>
      </c>
      <c r="W70" s="68" t="s">
        <v>4</v>
      </c>
      <c r="AC70" s="39"/>
    </row>
    <row r="71" spans="1:29" s="38" customFormat="1" ht="15" hidden="1" customHeight="1" x14ac:dyDescent="0.2">
      <c r="A71" s="37"/>
      <c r="C71" s="47" t="s">
        <v>74</v>
      </c>
      <c r="D71" s="66" t="s">
        <v>118</v>
      </c>
      <c r="E71" s="52"/>
      <c r="F71" s="52"/>
      <c r="G71" s="52"/>
      <c r="H71" s="52" t="str">
        <f t="shared" si="17"/>
        <v>£20.000 per '000</v>
      </c>
      <c r="I71" s="52"/>
      <c r="J71" s="52"/>
      <c r="K71" s="52"/>
      <c r="L71" s="57"/>
      <c r="M71" s="52"/>
      <c r="N71" s="58">
        <f t="shared" si="18"/>
        <v>0</v>
      </c>
      <c r="O71" s="59">
        <f t="shared" si="19"/>
        <v>0</v>
      </c>
      <c r="P71" s="55">
        <f t="shared" si="20"/>
        <v>0</v>
      </c>
      <c r="Q71" s="52"/>
      <c r="S71" s="67"/>
      <c r="T71" s="28" t="s">
        <v>8</v>
      </c>
      <c r="U71" s="77">
        <v>20</v>
      </c>
      <c r="V71" s="68">
        <v>1000</v>
      </c>
      <c r="W71" s="68" t="s">
        <v>4</v>
      </c>
      <c r="AC71" s="39"/>
    </row>
    <row r="72" spans="1:29" s="38" customFormat="1" ht="15" hidden="1" customHeight="1" x14ac:dyDescent="0.2">
      <c r="A72" s="37"/>
      <c r="C72" s="47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S72" s="37"/>
      <c r="U72" s="77"/>
      <c r="AC72" s="39"/>
    </row>
    <row r="73" spans="1:29" s="38" customFormat="1" ht="20.100000000000001" hidden="1" customHeight="1" x14ac:dyDescent="0.2">
      <c r="A73" s="37"/>
      <c r="C73" s="47"/>
      <c r="D73" s="61" t="s">
        <v>7</v>
      </c>
      <c r="E73" s="62"/>
      <c r="F73" s="62"/>
      <c r="G73" s="62"/>
      <c r="H73" s="62" t="s">
        <v>28</v>
      </c>
      <c r="I73" s="62"/>
      <c r="J73" s="62"/>
      <c r="K73" s="62"/>
      <c r="L73" s="62" t="s">
        <v>21</v>
      </c>
      <c r="M73" s="62"/>
      <c r="N73" s="62" t="s">
        <v>16</v>
      </c>
      <c r="O73" s="62" t="s">
        <v>5</v>
      </c>
      <c r="P73" s="62" t="s">
        <v>9</v>
      </c>
      <c r="Q73" s="62"/>
      <c r="R73" s="51"/>
      <c r="S73" s="37"/>
      <c r="U73" s="77"/>
      <c r="AC73" s="39"/>
    </row>
    <row r="74" spans="1:29" s="38" customFormat="1" ht="15" hidden="1" customHeight="1" x14ac:dyDescent="0.2">
      <c r="A74" s="37"/>
      <c r="C74" s="47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S74" s="37"/>
      <c r="U74" s="77"/>
      <c r="AC74" s="39"/>
    </row>
    <row r="75" spans="1:29" s="38" customFormat="1" ht="15" hidden="1" customHeight="1" x14ac:dyDescent="0.2">
      <c r="A75" s="37"/>
      <c r="C75" s="47"/>
      <c r="D75" s="65" t="s">
        <v>134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S75" s="37"/>
      <c r="U75" s="77"/>
      <c r="AC75" s="39"/>
    </row>
    <row r="76" spans="1:29" s="38" customFormat="1" ht="15" hidden="1" customHeight="1" x14ac:dyDescent="0.2">
      <c r="A76" s="37"/>
      <c r="C76" s="47" t="s">
        <v>69</v>
      </c>
      <c r="D76" s="66" t="s">
        <v>121</v>
      </c>
      <c r="E76" s="52"/>
      <c r="F76" s="52"/>
      <c r="G76" s="52"/>
      <c r="H76" s="52" t="str">
        <f t="shared" ref="H76:H79" si="21">CONCATENATE(DOLLAR(U76,3)," per ",W76)</f>
        <v>£24.000 per '000</v>
      </c>
      <c r="I76" s="52"/>
      <c r="J76" s="52"/>
      <c r="K76" s="52"/>
      <c r="L76" s="57"/>
      <c r="M76" s="52"/>
      <c r="N76" s="58">
        <f t="shared" ref="N76:N78" si="22">(L76/V76)*U76</f>
        <v>0</v>
      </c>
      <c r="O76" s="59">
        <f t="shared" ref="O76:O77" si="23">IF(T76="Y",VATFactor*N76,0)</f>
        <v>0</v>
      </c>
      <c r="P76" s="55">
        <f t="shared" ref="P76:P79" si="24">N76+O76</f>
        <v>0</v>
      </c>
      <c r="Q76" s="52"/>
      <c r="S76" s="67"/>
      <c r="T76" s="28" t="s">
        <v>8</v>
      </c>
      <c r="U76" s="77">
        <v>24</v>
      </c>
      <c r="V76" s="68">
        <v>1000</v>
      </c>
      <c r="W76" s="68" t="s">
        <v>4</v>
      </c>
      <c r="AC76" s="39"/>
    </row>
    <row r="77" spans="1:29" s="38" customFormat="1" ht="15" hidden="1" customHeight="1" x14ac:dyDescent="0.2">
      <c r="A77" s="37"/>
      <c r="C77" s="47" t="s">
        <v>70</v>
      </c>
      <c r="D77" s="66" t="s">
        <v>112</v>
      </c>
      <c r="E77" s="52"/>
      <c r="F77" s="52"/>
      <c r="G77" s="52"/>
      <c r="H77" s="52" t="str">
        <f t="shared" si="21"/>
        <v>£6.000 per '000</v>
      </c>
      <c r="I77" s="52"/>
      <c r="J77" s="52"/>
      <c r="K77" s="57"/>
      <c r="L77" s="57"/>
      <c r="M77" s="52"/>
      <c r="N77" s="58">
        <f t="shared" ref="N77" si="25">((L77/V77)*U77)*K77</f>
        <v>0</v>
      </c>
      <c r="O77" s="59">
        <f t="shared" si="23"/>
        <v>0</v>
      </c>
      <c r="P77" s="55">
        <f t="shared" si="24"/>
        <v>0</v>
      </c>
      <c r="Q77" s="52"/>
      <c r="S77" s="67"/>
      <c r="T77" s="28" t="s">
        <v>8</v>
      </c>
      <c r="U77" s="77">
        <v>6</v>
      </c>
      <c r="V77" s="68">
        <v>1000</v>
      </c>
      <c r="W77" s="68" t="s">
        <v>4</v>
      </c>
      <c r="AC77" s="39"/>
    </row>
    <row r="78" spans="1:29" s="38" customFormat="1" ht="15" hidden="1" customHeight="1" x14ac:dyDescent="0.2">
      <c r="A78" s="37"/>
      <c r="C78" s="47" t="s">
        <v>67</v>
      </c>
      <c r="D78" s="66" t="s">
        <v>120</v>
      </c>
      <c r="E78" s="52"/>
      <c r="F78" s="52"/>
      <c r="G78" s="52"/>
      <c r="H78" s="52" t="str">
        <f t="shared" si="21"/>
        <v>£85.000 per Item</v>
      </c>
      <c r="I78" s="52"/>
      <c r="J78" s="52"/>
      <c r="K78" s="52"/>
      <c r="L78" s="57"/>
      <c r="M78" s="52"/>
      <c r="N78" s="58">
        <f t="shared" si="22"/>
        <v>0</v>
      </c>
      <c r="O78" s="59">
        <f t="shared" ref="O78:O79" si="26">IF(T78="Y",VATFactor*N78,0)</f>
        <v>0</v>
      </c>
      <c r="P78" s="55">
        <f t="shared" si="24"/>
        <v>0</v>
      </c>
      <c r="Q78" s="52"/>
      <c r="S78" s="67"/>
      <c r="T78" s="28" t="s">
        <v>8</v>
      </c>
      <c r="U78" s="77">
        <v>85</v>
      </c>
      <c r="V78" s="68">
        <v>1</v>
      </c>
      <c r="W78" s="68" t="s">
        <v>127</v>
      </c>
      <c r="AC78" s="39"/>
    </row>
    <row r="79" spans="1:29" s="38" customFormat="1" ht="15" hidden="1" customHeight="1" x14ac:dyDescent="0.2">
      <c r="A79" s="37"/>
      <c r="C79" s="47" t="s">
        <v>66</v>
      </c>
      <c r="D79" s="66" t="s">
        <v>111</v>
      </c>
      <c r="E79" s="52"/>
      <c r="F79" s="52"/>
      <c r="G79" s="52"/>
      <c r="H79" s="52" t="str">
        <f t="shared" si="21"/>
        <v>£40.000 per '000</v>
      </c>
      <c r="I79" s="52"/>
      <c r="J79" s="52"/>
      <c r="K79" s="57"/>
      <c r="L79" s="57"/>
      <c r="M79" s="52"/>
      <c r="N79" s="58">
        <f t="shared" ref="N79" si="27">((L79/V79)*U79)*K79</f>
        <v>0</v>
      </c>
      <c r="O79" s="59">
        <f t="shared" si="26"/>
        <v>0</v>
      </c>
      <c r="P79" s="55">
        <f t="shared" si="24"/>
        <v>0</v>
      </c>
      <c r="Q79" s="52"/>
      <c r="S79" s="67"/>
      <c r="T79" s="28" t="s">
        <v>8</v>
      </c>
      <c r="U79" s="77">
        <v>40</v>
      </c>
      <c r="V79" s="68">
        <v>1000</v>
      </c>
      <c r="W79" s="68" t="s">
        <v>4</v>
      </c>
      <c r="AC79" s="39"/>
    </row>
    <row r="80" spans="1:29" s="38" customFormat="1" ht="15" hidden="1" customHeight="1" x14ac:dyDescent="0.2">
      <c r="A80" s="37"/>
      <c r="C80" s="47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S80" s="37"/>
      <c r="U80" s="77"/>
      <c r="AC80" s="39"/>
    </row>
    <row r="81" spans="1:29" s="38" customFormat="1" ht="15" hidden="1" customHeight="1" x14ac:dyDescent="0.2">
      <c r="A81" s="37"/>
      <c r="C81" s="47"/>
      <c r="D81" s="65" t="s">
        <v>136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S81" s="67"/>
      <c r="T81" s="28"/>
      <c r="U81" s="77"/>
      <c r="V81" s="68"/>
      <c r="W81" s="68"/>
      <c r="AC81" s="39"/>
    </row>
    <row r="82" spans="1:29" s="38" customFormat="1" ht="15" hidden="1" customHeight="1" x14ac:dyDescent="0.2">
      <c r="A82" s="37"/>
      <c r="C82" s="47" t="s">
        <v>59</v>
      </c>
      <c r="D82" s="66" t="s">
        <v>109</v>
      </c>
      <c r="E82" s="52"/>
      <c r="F82" s="52"/>
      <c r="G82" s="52"/>
      <c r="H82" s="52" t="str">
        <f t="shared" ref="H82:H84" si="28">CONCATENATE(DOLLAR(U82,3)," per ",W82)</f>
        <v>£70.000 per '000</v>
      </c>
      <c r="I82" s="52"/>
      <c r="J82" s="52"/>
      <c r="K82" s="52"/>
      <c r="L82" s="57"/>
      <c r="M82" s="52"/>
      <c r="N82" s="58">
        <f t="shared" ref="N82:N84" si="29">(L82/V82)*U82</f>
        <v>0</v>
      </c>
      <c r="O82" s="59">
        <f t="shared" ref="O82:O84" si="30">IF(T82="Y",VATFactor*N82,0)</f>
        <v>0</v>
      </c>
      <c r="P82" s="55">
        <f t="shared" ref="P82:P84" si="31">N82+O82</f>
        <v>0</v>
      </c>
      <c r="Q82" s="52"/>
      <c r="S82" s="67"/>
      <c r="T82" s="28" t="s">
        <v>8</v>
      </c>
      <c r="U82" s="77">
        <v>70</v>
      </c>
      <c r="V82" s="68">
        <v>1000</v>
      </c>
      <c r="W82" s="68" t="s">
        <v>4</v>
      </c>
      <c r="AC82" s="39"/>
    </row>
    <row r="83" spans="1:29" s="38" customFormat="1" ht="15" hidden="1" customHeight="1" x14ac:dyDescent="0.2">
      <c r="A83" s="37"/>
      <c r="C83" s="47" t="s">
        <v>62</v>
      </c>
      <c r="D83" s="66" t="s">
        <v>110</v>
      </c>
      <c r="E83" s="52"/>
      <c r="F83" s="52"/>
      <c r="G83" s="52"/>
      <c r="H83" s="52" t="str">
        <f t="shared" si="28"/>
        <v>£120.000 per '000</v>
      </c>
      <c r="I83" s="52"/>
      <c r="J83" s="52"/>
      <c r="K83" s="52"/>
      <c r="L83" s="57"/>
      <c r="M83" s="52"/>
      <c r="N83" s="58">
        <f t="shared" si="29"/>
        <v>0</v>
      </c>
      <c r="O83" s="59">
        <f t="shared" si="30"/>
        <v>0</v>
      </c>
      <c r="P83" s="55">
        <f t="shared" si="31"/>
        <v>0</v>
      </c>
      <c r="Q83" s="52"/>
      <c r="S83" s="67"/>
      <c r="T83" s="28" t="s">
        <v>8</v>
      </c>
      <c r="U83" s="77">
        <v>120</v>
      </c>
      <c r="V83" s="68">
        <v>1000</v>
      </c>
      <c r="W83" s="68" t="s">
        <v>4</v>
      </c>
      <c r="AC83" s="39"/>
    </row>
    <row r="84" spans="1:29" s="38" customFormat="1" ht="15" hidden="1" customHeight="1" x14ac:dyDescent="0.2">
      <c r="A84" s="37"/>
      <c r="C84" s="47" t="s">
        <v>60</v>
      </c>
      <c r="D84" s="66" t="s">
        <v>131</v>
      </c>
      <c r="E84" s="52"/>
      <c r="F84" s="52"/>
      <c r="G84" s="52"/>
      <c r="H84" s="52" t="str">
        <f t="shared" si="28"/>
        <v>£5.000 per '000</v>
      </c>
      <c r="I84" s="52"/>
      <c r="J84" s="52"/>
      <c r="K84" s="52"/>
      <c r="L84" s="57"/>
      <c r="M84" s="52"/>
      <c r="N84" s="58">
        <f t="shared" si="29"/>
        <v>0</v>
      </c>
      <c r="O84" s="59">
        <f t="shared" si="30"/>
        <v>0</v>
      </c>
      <c r="P84" s="55">
        <f t="shared" si="31"/>
        <v>0</v>
      </c>
      <c r="Q84" s="52"/>
      <c r="S84" s="67"/>
      <c r="T84" s="28" t="s">
        <v>8</v>
      </c>
      <c r="U84" s="77">
        <v>5</v>
      </c>
      <c r="V84" s="68">
        <v>1000</v>
      </c>
      <c r="W84" s="68" t="s">
        <v>4</v>
      </c>
      <c r="AC84" s="39"/>
    </row>
    <row r="85" spans="1:29" s="38" customFormat="1" ht="15" hidden="1" customHeight="1" x14ac:dyDescent="0.2">
      <c r="A85" s="37"/>
      <c r="C85" s="47"/>
      <c r="D85" s="66"/>
      <c r="E85" s="66"/>
      <c r="F85" s="66"/>
      <c r="G85" s="52"/>
      <c r="H85" s="52"/>
      <c r="I85" s="52"/>
      <c r="J85" s="52"/>
      <c r="K85" s="52"/>
      <c r="L85" s="66"/>
      <c r="M85" s="52"/>
      <c r="N85" s="52"/>
      <c r="O85" s="52"/>
      <c r="P85" s="52"/>
      <c r="Q85" s="52"/>
      <c r="S85" s="37"/>
      <c r="T85" s="28"/>
      <c r="U85" s="77"/>
      <c r="AC85" s="39"/>
    </row>
    <row r="86" spans="1:29" s="38" customFormat="1" ht="15" hidden="1" customHeight="1" x14ac:dyDescent="0.2">
      <c r="A86" s="37"/>
      <c r="C86" s="47"/>
      <c r="D86" s="65" t="s">
        <v>135</v>
      </c>
      <c r="E86" s="52"/>
      <c r="F86" s="52"/>
      <c r="G86" s="52"/>
      <c r="H86" s="52"/>
      <c r="I86" s="52"/>
      <c r="J86" s="52"/>
      <c r="K86" s="52"/>
      <c r="L86" s="66"/>
      <c r="M86" s="52"/>
      <c r="N86" s="52"/>
      <c r="O86" s="52"/>
      <c r="P86" s="52"/>
      <c r="Q86" s="52"/>
      <c r="S86" s="67"/>
      <c r="T86" s="28"/>
      <c r="U86" s="77"/>
      <c r="V86" s="68"/>
      <c r="W86" s="68"/>
      <c r="AC86" s="39"/>
    </row>
    <row r="87" spans="1:29" s="38" customFormat="1" ht="15" hidden="1" customHeight="1" x14ac:dyDescent="0.2">
      <c r="A87" s="37"/>
      <c r="C87" s="47" t="s">
        <v>71</v>
      </c>
      <c r="D87" s="66" t="s">
        <v>113</v>
      </c>
      <c r="E87" s="54"/>
      <c r="F87" s="52"/>
      <c r="G87" s="52"/>
      <c r="H87" s="52" t="str">
        <f t="shared" ref="H87:H88" si="32">CONCATENATE(DOLLAR(U87,3)," per ",W87)</f>
        <v>£0.300 per Item</v>
      </c>
      <c r="I87" s="52"/>
      <c r="J87" s="52"/>
      <c r="K87" s="52"/>
      <c r="L87" s="57"/>
      <c r="M87" s="52"/>
      <c r="N87" s="58">
        <f t="shared" ref="N87:N91" si="33">(L87/V87)*U87</f>
        <v>0</v>
      </c>
      <c r="O87" s="59">
        <f t="shared" ref="O87:O91" si="34">IF(T87="Y",VATFactor*N87,0)</f>
        <v>0</v>
      </c>
      <c r="P87" s="55">
        <f t="shared" ref="P87:P91" si="35">N87+O87</f>
        <v>0</v>
      </c>
      <c r="Q87" s="52"/>
      <c r="S87" s="67"/>
      <c r="T87" s="28" t="s">
        <v>8</v>
      </c>
      <c r="U87" s="77">
        <v>0.3</v>
      </c>
      <c r="V87" s="68">
        <v>1</v>
      </c>
      <c r="W87" s="68" t="s">
        <v>127</v>
      </c>
      <c r="AC87" s="39"/>
    </row>
    <row r="88" spans="1:29" s="38" customFormat="1" ht="15" hidden="1" customHeight="1" x14ac:dyDescent="0.2">
      <c r="A88" s="37"/>
      <c r="C88" s="47" t="s">
        <v>72</v>
      </c>
      <c r="D88" s="66" t="s">
        <v>122</v>
      </c>
      <c r="E88" s="54"/>
      <c r="F88" s="52"/>
      <c r="G88" s="52"/>
      <c r="H88" s="52" t="str">
        <f t="shared" si="32"/>
        <v>£1.750 per Item</v>
      </c>
      <c r="I88" s="52"/>
      <c r="J88" s="52"/>
      <c r="K88" s="52"/>
      <c r="L88" s="57"/>
      <c r="M88" s="52"/>
      <c r="N88" s="58">
        <f t="shared" si="33"/>
        <v>0</v>
      </c>
      <c r="O88" s="59">
        <f t="shared" si="34"/>
        <v>0</v>
      </c>
      <c r="P88" s="55">
        <f t="shared" si="35"/>
        <v>0</v>
      </c>
      <c r="Q88" s="52"/>
      <c r="S88" s="67"/>
      <c r="T88" s="28" t="s">
        <v>8</v>
      </c>
      <c r="U88" s="77">
        <v>1.75</v>
      </c>
      <c r="V88" s="68">
        <v>1</v>
      </c>
      <c r="W88" s="68" t="s">
        <v>127</v>
      </c>
      <c r="AC88" s="39"/>
    </row>
    <row r="89" spans="1:29" s="38" customFormat="1" ht="15" hidden="1" customHeight="1" x14ac:dyDescent="0.2">
      <c r="A89" s="37"/>
      <c r="C89" s="47"/>
      <c r="D89" s="66"/>
      <c r="E89" s="66"/>
      <c r="F89" s="66"/>
      <c r="G89" s="52"/>
      <c r="H89" s="52"/>
      <c r="I89" s="52"/>
      <c r="J89" s="52"/>
      <c r="K89" s="52"/>
      <c r="L89" s="66"/>
      <c r="M89" s="52"/>
      <c r="N89" s="52"/>
      <c r="O89" s="52"/>
      <c r="P89" s="52"/>
      <c r="Q89" s="52"/>
      <c r="S89" s="37"/>
      <c r="T89" s="28"/>
      <c r="U89" s="77"/>
      <c r="AC89" s="39"/>
    </row>
    <row r="90" spans="1:29" s="38" customFormat="1" ht="15" hidden="1" customHeight="1" x14ac:dyDescent="0.2">
      <c r="A90" s="37"/>
      <c r="C90" s="47"/>
      <c r="D90" s="65" t="s">
        <v>133</v>
      </c>
      <c r="E90" s="66"/>
      <c r="F90" s="66"/>
      <c r="G90" s="52"/>
      <c r="H90" s="52"/>
      <c r="I90" s="52"/>
      <c r="J90" s="52"/>
      <c r="K90" s="52"/>
      <c r="L90" s="66"/>
      <c r="M90" s="52"/>
      <c r="N90" s="52"/>
      <c r="O90" s="52"/>
      <c r="P90" s="52"/>
      <c r="Q90" s="52"/>
      <c r="S90" s="37"/>
      <c r="T90" s="28"/>
      <c r="U90" s="77"/>
      <c r="AC90" s="39"/>
    </row>
    <row r="91" spans="1:29" s="38" customFormat="1" ht="15" hidden="1" customHeight="1" x14ac:dyDescent="0.2">
      <c r="A91" s="37"/>
      <c r="C91" s="47" t="s">
        <v>68</v>
      </c>
      <c r="D91" s="66" t="s">
        <v>119</v>
      </c>
      <c r="E91" s="54"/>
      <c r="F91" s="52"/>
      <c r="G91" s="52"/>
      <c r="H91" s="52" t="str">
        <f t="shared" ref="H91" si="36">CONCATENATE(DOLLAR(U91,3)," per ",W91)</f>
        <v>£20.000 per '000</v>
      </c>
      <c r="I91" s="52"/>
      <c r="J91" s="52"/>
      <c r="K91" s="52"/>
      <c r="L91" s="57"/>
      <c r="M91" s="52"/>
      <c r="N91" s="58">
        <f t="shared" si="33"/>
        <v>0</v>
      </c>
      <c r="O91" s="59">
        <f t="shared" si="34"/>
        <v>0</v>
      </c>
      <c r="P91" s="55">
        <f t="shared" si="35"/>
        <v>0</v>
      </c>
      <c r="Q91" s="52"/>
      <c r="S91" s="67"/>
      <c r="T91" s="28" t="s">
        <v>8</v>
      </c>
      <c r="U91" s="77">
        <v>20</v>
      </c>
      <c r="V91" s="68">
        <v>1000</v>
      </c>
      <c r="W91" s="68" t="s">
        <v>4</v>
      </c>
      <c r="AC91" s="39"/>
    </row>
    <row r="92" spans="1:29" s="38" customFormat="1" ht="15" hidden="1" customHeight="1" x14ac:dyDescent="0.2">
      <c r="A92" s="37"/>
      <c r="C92" s="47"/>
      <c r="D92" s="66"/>
      <c r="E92" s="66"/>
      <c r="F92" s="66"/>
      <c r="G92" s="52"/>
      <c r="H92" s="52"/>
      <c r="I92" s="52"/>
      <c r="J92" s="52"/>
      <c r="K92" s="52"/>
      <c r="L92" s="66"/>
      <c r="M92" s="52"/>
      <c r="N92" s="52"/>
      <c r="O92" s="52"/>
      <c r="P92" s="52"/>
      <c r="Q92" s="52"/>
      <c r="S92" s="37"/>
      <c r="T92" s="28"/>
      <c r="U92" s="77"/>
      <c r="AC92" s="39"/>
    </row>
    <row r="93" spans="1:29" s="38" customFormat="1" ht="15" hidden="1" customHeight="1" x14ac:dyDescent="0.2">
      <c r="A93" s="37"/>
      <c r="C93" s="47"/>
      <c r="D93" s="65" t="s">
        <v>104</v>
      </c>
      <c r="E93" s="66"/>
      <c r="F93" s="66"/>
      <c r="G93" s="52"/>
      <c r="H93" s="52"/>
      <c r="I93" s="52"/>
      <c r="J93" s="52"/>
      <c r="K93" s="52"/>
      <c r="L93" s="66"/>
      <c r="M93" s="52"/>
      <c r="N93" s="52"/>
      <c r="O93" s="52"/>
      <c r="P93" s="52"/>
      <c r="Q93" s="52"/>
      <c r="S93" s="37"/>
      <c r="T93" s="28"/>
      <c r="U93" s="77"/>
      <c r="AC93" s="39"/>
    </row>
    <row r="94" spans="1:29" s="38" customFormat="1" ht="15" hidden="1" customHeight="1" x14ac:dyDescent="0.2">
      <c r="A94" s="37"/>
      <c r="C94" s="47" t="s">
        <v>76</v>
      </c>
      <c r="D94" s="66" t="s">
        <v>114</v>
      </c>
      <c r="E94" s="52"/>
      <c r="F94" s="52"/>
      <c r="G94" s="52"/>
      <c r="H94" s="52" t="str">
        <f t="shared" ref="H94:H96" si="37">CONCATENATE(DOLLAR(U94,3)," per ",W94)</f>
        <v>£10.000 per '000</v>
      </c>
      <c r="I94" s="52"/>
      <c r="J94" s="52"/>
      <c r="K94" s="52"/>
      <c r="L94" s="57"/>
      <c r="M94" s="52"/>
      <c r="N94" s="58">
        <f t="shared" ref="N94:N96" si="38">(L94/V94)*U94</f>
        <v>0</v>
      </c>
      <c r="O94" s="59">
        <f t="shared" ref="O94" si="39">IF(T94="Y",VATFactor*N94,0)</f>
        <v>0</v>
      </c>
      <c r="P94" s="55">
        <f t="shared" ref="P94:P96" si="40">N94+O94</f>
        <v>0</v>
      </c>
      <c r="Q94" s="52"/>
      <c r="S94" s="67"/>
      <c r="T94" s="28" t="s">
        <v>8</v>
      </c>
      <c r="U94" s="77">
        <v>10</v>
      </c>
      <c r="V94" s="68">
        <v>1000</v>
      </c>
      <c r="W94" s="68" t="s">
        <v>4</v>
      </c>
      <c r="AC94" s="39"/>
    </row>
    <row r="95" spans="1:29" s="38" customFormat="1" ht="15" hidden="1" customHeight="1" x14ac:dyDescent="0.2">
      <c r="A95" s="37"/>
      <c r="C95" s="47" t="s">
        <v>77</v>
      </c>
      <c r="D95" s="66" t="s">
        <v>115</v>
      </c>
      <c r="E95" s="52"/>
      <c r="F95" s="52"/>
      <c r="G95" s="52"/>
      <c r="H95" s="52" t="str">
        <f t="shared" si="37"/>
        <v>£11.000 per '000</v>
      </c>
      <c r="I95" s="52"/>
      <c r="J95" s="52"/>
      <c r="K95" s="52"/>
      <c r="L95" s="57"/>
      <c r="M95" s="52"/>
      <c r="N95" s="58">
        <f t="shared" si="38"/>
        <v>0</v>
      </c>
      <c r="O95" s="59">
        <f t="shared" ref="O95:O96" si="41">IF(T95="Y",VATFactor*N95,0)</f>
        <v>0</v>
      </c>
      <c r="P95" s="55">
        <f t="shared" si="40"/>
        <v>0</v>
      </c>
      <c r="Q95" s="52"/>
      <c r="S95" s="67"/>
      <c r="T95" s="28" t="s">
        <v>8</v>
      </c>
      <c r="U95" s="77">
        <v>11</v>
      </c>
      <c r="V95" s="68">
        <v>1000</v>
      </c>
      <c r="W95" s="68" t="s">
        <v>4</v>
      </c>
      <c r="AC95" s="39"/>
    </row>
    <row r="96" spans="1:29" s="38" customFormat="1" ht="15" hidden="1" customHeight="1" x14ac:dyDescent="0.2">
      <c r="A96" s="37"/>
      <c r="C96" s="47" t="s">
        <v>78</v>
      </c>
      <c r="D96" s="66" t="s">
        <v>116</v>
      </c>
      <c r="E96" s="52"/>
      <c r="F96" s="52"/>
      <c r="G96" s="52"/>
      <c r="H96" s="52" t="str">
        <f t="shared" si="37"/>
        <v>£36.000 per '000</v>
      </c>
      <c r="I96" s="52"/>
      <c r="J96" s="52"/>
      <c r="K96" s="52"/>
      <c r="L96" s="57"/>
      <c r="M96" s="52"/>
      <c r="N96" s="58">
        <f t="shared" si="38"/>
        <v>0</v>
      </c>
      <c r="O96" s="59">
        <f t="shared" si="41"/>
        <v>0</v>
      </c>
      <c r="P96" s="55">
        <f t="shared" si="40"/>
        <v>0</v>
      </c>
      <c r="Q96" s="52"/>
      <c r="S96" s="67"/>
      <c r="T96" s="28" t="s">
        <v>8</v>
      </c>
      <c r="U96" s="77">
        <v>36</v>
      </c>
      <c r="V96" s="68">
        <v>1000</v>
      </c>
      <c r="W96" s="68" t="s">
        <v>4</v>
      </c>
      <c r="AC96" s="39"/>
    </row>
    <row r="97" spans="1:29" s="38" customFormat="1" ht="15" hidden="1" customHeight="1" x14ac:dyDescent="0.2">
      <c r="A97" s="37"/>
      <c r="C97" s="47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S97" s="37"/>
      <c r="T97" s="28"/>
      <c r="U97" s="77"/>
      <c r="AC97" s="39"/>
    </row>
    <row r="98" spans="1:29" s="38" customFormat="1" ht="20.100000000000001" hidden="1" customHeight="1" x14ac:dyDescent="0.2">
      <c r="A98" s="37"/>
      <c r="C98" s="47"/>
      <c r="D98" s="61" t="s">
        <v>2</v>
      </c>
      <c r="E98" s="62"/>
      <c r="F98" s="62"/>
      <c r="G98" s="62"/>
      <c r="H98" s="62" t="s">
        <v>28</v>
      </c>
      <c r="I98" s="62"/>
      <c r="J98" s="62"/>
      <c r="K98" s="62" t="s">
        <v>29</v>
      </c>
      <c r="L98" s="62" t="s">
        <v>21</v>
      </c>
      <c r="M98" s="62"/>
      <c r="N98" s="62" t="s">
        <v>16</v>
      </c>
      <c r="O98" s="62" t="s">
        <v>5</v>
      </c>
      <c r="P98" s="62" t="s">
        <v>9</v>
      </c>
      <c r="Q98" s="62"/>
      <c r="R98" s="51"/>
      <c r="S98" s="37"/>
      <c r="T98" s="28"/>
      <c r="U98" s="77"/>
      <c r="AC98" s="39"/>
    </row>
    <row r="99" spans="1:29" s="38" customFormat="1" ht="15" hidden="1" x14ac:dyDescent="0.2">
      <c r="A99" s="37"/>
      <c r="C99" s="47"/>
      <c r="D99" s="52"/>
      <c r="E99" s="52"/>
      <c r="F99" s="69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S99" s="37"/>
      <c r="T99" s="28"/>
      <c r="U99" s="77"/>
      <c r="AC99" s="39"/>
    </row>
    <row r="100" spans="1:29" s="38" customFormat="1" ht="15" hidden="1" customHeight="1" x14ac:dyDescent="0.2">
      <c r="A100" s="37"/>
      <c r="C100" s="47"/>
      <c r="D100" s="65" t="s">
        <v>6</v>
      </c>
      <c r="E100" s="66"/>
      <c r="F100" s="69"/>
      <c r="G100" s="52"/>
      <c r="H100" s="52"/>
      <c r="I100" s="52"/>
      <c r="J100" s="52"/>
      <c r="K100" s="52"/>
      <c r="L100" s="66"/>
      <c r="M100" s="52"/>
      <c r="N100" s="52"/>
      <c r="O100" s="52"/>
      <c r="P100" s="52"/>
      <c r="Q100" s="52"/>
      <c r="S100" s="37"/>
      <c r="T100" s="28"/>
      <c r="U100" s="77"/>
      <c r="AC100" s="39"/>
    </row>
    <row r="101" spans="1:29" s="38" customFormat="1" ht="15" hidden="1" x14ac:dyDescent="0.2">
      <c r="A101" s="37"/>
      <c r="C101" s="47" t="s">
        <v>75</v>
      </c>
      <c r="D101" s="66" t="s">
        <v>117</v>
      </c>
      <c r="E101" s="52"/>
      <c r="F101" s="69"/>
      <c r="G101" s="52"/>
      <c r="H101" s="52" t="str">
        <f t="shared" ref="H101" si="42">CONCATENATE(DOLLAR(U101,3)," per ",W101)</f>
        <v>£7.500 per Week</v>
      </c>
      <c r="I101" s="52"/>
      <c r="J101" s="52"/>
      <c r="K101" s="57"/>
      <c r="L101" s="57"/>
      <c r="M101" s="52"/>
      <c r="N101" s="58">
        <f t="shared" ref="N101" si="43">((L101/V101)*U101)*K101</f>
        <v>0</v>
      </c>
      <c r="O101" s="59">
        <f t="shared" ref="O101" si="44">IF(T101="Y",VATFactor*N101,0)</f>
        <v>0</v>
      </c>
      <c r="P101" s="55">
        <f t="shared" ref="P101" si="45">N101+O101</f>
        <v>0</v>
      </c>
      <c r="Q101" s="52"/>
      <c r="S101" s="67"/>
      <c r="T101" s="28" t="s">
        <v>8</v>
      </c>
      <c r="U101" s="77">
        <v>7.5</v>
      </c>
      <c r="V101" s="68">
        <v>1</v>
      </c>
      <c r="W101" s="68" t="s">
        <v>130</v>
      </c>
      <c r="AC101" s="39"/>
    </row>
    <row r="102" spans="1:29" s="38" customFormat="1" ht="15" hidden="1" x14ac:dyDescent="0.2">
      <c r="A102" s="37"/>
      <c r="C102" s="47"/>
      <c r="D102" s="52"/>
      <c r="E102" s="52"/>
      <c r="F102" s="69"/>
      <c r="G102" s="52"/>
      <c r="H102" s="52"/>
      <c r="I102" s="52"/>
      <c r="J102" s="52"/>
      <c r="K102" s="66"/>
      <c r="L102" s="52"/>
      <c r="M102" s="52"/>
      <c r="N102" s="52"/>
      <c r="O102" s="52"/>
      <c r="P102" s="52"/>
      <c r="Q102" s="52"/>
      <c r="S102" s="37"/>
      <c r="T102" s="28"/>
      <c r="U102" s="77"/>
      <c r="AC102" s="39"/>
    </row>
    <row r="103" spans="1:29" s="38" customFormat="1" ht="15" hidden="1" x14ac:dyDescent="0.2">
      <c r="A103" s="37"/>
      <c r="C103" s="47"/>
      <c r="D103" s="65" t="s">
        <v>137</v>
      </c>
      <c r="E103" s="66"/>
      <c r="F103" s="69"/>
      <c r="G103" s="52"/>
      <c r="H103" s="52"/>
      <c r="I103" s="52"/>
      <c r="J103" s="52"/>
      <c r="K103" s="66"/>
      <c r="L103" s="52"/>
      <c r="M103" s="52"/>
      <c r="N103" s="52"/>
      <c r="O103" s="52"/>
      <c r="P103" s="52"/>
      <c r="Q103" s="52"/>
      <c r="S103" s="37"/>
      <c r="T103" s="28"/>
      <c r="U103" s="77"/>
      <c r="AC103" s="39"/>
    </row>
    <row r="104" spans="1:29" s="38" customFormat="1" ht="15" hidden="1" x14ac:dyDescent="0.2">
      <c r="A104" s="37"/>
      <c r="C104" s="47" t="s">
        <v>63</v>
      </c>
      <c r="D104" s="66" t="s">
        <v>123</v>
      </c>
      <c r="E104" s="54"/>
      <c r="F104" s="69"/>
      <c r="G104" s="52"/>
      <c r="H104" s="52" t="str">
        <f t="shared" ref="H104" si="46">CONCATENATE(DOLLAR(U104,3)," per ",W104)</f>
        <v>£84.700 per Pallet</v>
      </c>
      <c r="I104" s="52"/>
      <c r="J104" s="52"/>
      <c r="K104" s="52"/>
      <c r="L104" s="57"/>
      <c r="M104" s="52"/>
      <c r="N104" s="58">
        <f t="shared" ref="N104" si="47">(L104/V104)*U104</f>
        <v>0</v>
      </c>
      <c r="O104" s="59">
        <f t="shared" ref="O104" si="48">IF(T104="Y",VATFactor*N104,0)</f>
        <v>0</v>
      </c>
      <c r="P104" s="55">
        <f t="shared" ref="P104" si="49">N104+O104</f>
        <v>0</v>
      </c>
      <c r="Q104" s="52"/>
      <c r="S104" s="67"/>
      <c r="T104" s="28" t="s">
        <v>8</v>
      </c>
      <c r="U104" s="77">
        <v>84.7</v>
      </c>
      <c r="V104" s="68">
        <v>1</v>
      </c>
      <c r="W104" s="68" t="s">
        <v>128</v>
      </c>
      <c r="AC104" s="39"/>
    </row>
    <row r="105" spans="1:29" s="38" customFormat="1" ht="15" hidden="1" x14ac:dyDescent="0.2">
      <c r="A105" s="37"/>
      <c r="C105" s="47"/>
      <c r="D105" s="52"/>
      <c r="E105" s="52"/>
      <c r="F105" s="69"/>
      <c r="G105" s="52"/>
      <c r="H105" s="52"/>
      <c r="I105" s="52"/>
      <c r="J105" s="52"/>
      <c r="K105" s="66"/>
      <c r="L105" s="52"/>
      <c r="M105" s="52"/>
      <c r="N105" s="52"/>
      <c r="O105" s="52"/>
      <c r="P105" s="52"/>
      <c r="Q105" s="52"/>
      <c r="S105" s="37"/>
      <c r="T105" s="28"/>
      <c r="U105" s="77"/>
      <c r="AC105" s="39"/>
    </row>
    <row r="106" spans="1:29" s="38" customFormat="1" ht="20.100000000000001" hidden="1" customHeight="1" x14ac:dyDescent="0.2">
      <c r="A106" s="37"/>
      <c r="C106" s="47"/>
      <c r="D106" s="61" t="s">
        <v>27</v>
      </c>
      <c r="E106" s="62"/>
      <c r="F106" s="62"/>
      <c r="G106" s="62"/>
      <c r="H106" s="62"/>
      <c r="I106" s="62"/>
      <c r="J106" s="62"/>
      <c r="K106" s="62"/>
      <c r="L106" s="62"/>
      <c r="M106" s="62"/>
      <c r="N106" s="63">
        <f>SUM(N63:N105)</f>
        <v>0</v>
      </c>
      <c r="O106" s="63">
        <f>SUM(O63:O105)</f>
        <v>0</v>
      </c>
      <c r="P106" s="63">
        <f>SUM(P63:P105)</f>
        <v>0</v>
      </c>
      <c r="Q106" s="62"/>
      <c r="R106" s="51"/>
      <c r="S106" s="37"/>
      <c r="AC106" s="39"/>
    </row>
    <row r="107" spans="1:29" ht="15" x14ac:dyDescent="0.25">
      <c r="A107" s="1"/>
      <c r="C107" s="47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"/>
    </row>
    <row r="108" spans="1:29" s="41" customFormat="1" ht="30" customHeight="1" x14ac:dyDescent="0.3">
      <c r="A108" s="40"/>
      <c r="C108" s="42"/>
      <c r="D108" s="88" t="s">
        <v>30</v>
      </c>
      <c r="E108" s="89"/>
      <c r="F108" s="89"/>
      <c r="G108" s="89"/>
      <c r="H108" s="91"/>
      <c r="I108" s="89"/>
      <c r="J108" s="89"/>
      <c r="K108" s="89"/>
      <c r="L108" s="91"/>
      <c r="M108" s="91"/>
      <c r="N108" s="87">
        <f>IntNettTotal+UKNettTotal+FulfilmentNettTotal</f>
        <v>0</v>
      </c>
      <c r="O108" s="87">
        <f>IntVATTotal+UKVATTotal+FulfilmentVATTotal</f>
        <v>0</v>
      </c>
      <c r="P108" s="87">
        <f>IntTotal+UKTotal+FulfilmentTotal</f>
        <v>0</v>
      </c>
      <c r="Q108" s="91"/>
      <c r="R108" s="78"/>
      <c r="S108" s="40"/>
      <c r="AC108" s="46"/>
    </row>
    <row r="109" spans="1:29" ht="15" x14ac:dyDescent="0.25">
      <c r="A109" s="1"/>
      <c r="C109" s="70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"/>
    </row>
    <row r="110" spans="1:29" x14ac:dyDescent="0.2">
      <c r="A110" s="1"/>
      <c r="B110" s="1"/>
      <c r="C110" s="7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</sheetData>
  <sheetProtection password="E500" sheet="1" objects="1" scenarios="1" selectLockedCells="1"/>
  <mergeCells count="10">
    <mergeCell ref="D3:G3"/>
    <mergeCell ref="D4:G4"/>
    <mergeCell ref="D5:G5"/>
    <mergeCell ref="D6:G6"/>
    <mergeCell ref="I10:J10"/>
    <mergeCell ref="D27:Q27"/>
    <mergeCell ref="H6:M6"/>
    <mergeCell ref="K17:L17"/>
    <mergeCell ref="K20:L20"/>
    <mergeCell ref="K25:L25"/>
  </mergeCells>
  <conditionalFormatting sqref="I10:J10">
    <cfRule type="expression" dxfId="0" priority="1">
      <formula>I10="  invalid weight for format"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10" fitToHeight="2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Option Button 3">
              <controlPr defaultSize="0" autoFill="0" autoLine="0" autoPict="0">
                <anchor moveWithCells="1">
                  <from>
                    <xdr:col>8</xdr:col>
                    <xdr:colOff>476250</xdr:colOff>
                    <xdr:row>3</xdr:row>
                    <xdr:rowOff>285750</xdr:rowOff>
                  </from>
                  <to>
                    <xdr:col>10</xdr:col>
                    <xdr:colOff>885825</xdr:colOff>
                    <xdr:row>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Option Button 5">
              <controlPr defaultSize="0" autoFill="0" autoLine="0" autoPict="0">
                <anchor moveWithCells="1">
                  <from>
                    <xdr:col>8</xdr:col>
                    <xdr:colOff>476250</xdr:colOff>
                    <xdr:row>2</xdr:row>
                    <xdr:rowOff>142875</xdr:rowOff>
                  </from>
                  <to>
                    <xdr:col>10</xdr:col>
                    <xdr:colOff>885825</xdr:colOff>
                    <xdr:row>3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23</vt:i4>
      </vt:variant>
    </vt:vector>
  </HeadingPairs>
  <TitlesOfParts>
    <vt:vector size="24" baseType="lpstr">
      <vt:lpstr>Ireland Mail</vt:lpstr>
      <vt:lpstr>'Ireland Mail'!ClassOfService</vt:lpstr>
      <vt:lpstr>'Ireland Mail'!CustomerAccount</vt:lpstr>
      <vt:lpstr>'Ireland Mail'!EffectiveDate</vt:lpstr>
      <vt:lpstr>'Ireland Mail'!FirstRateCell</vt:lpstr>
      <vt:lpstr>'Ireland Mail'!FirstUKRateCell</vt:lpstr>
      <vt:lpstr>'Ireland Mail'!FormatType</vt:lpstr>
      <vt:lpstr>'Ireland Mail'!Frequency</vt:lpstr>
      <vt:lpstr>'Ireland Mail'!FulfilmentNettTotal</vt:lpstr>
      <vt:lpstr>'Ireland Mail'!FulfilmentTotal</vt:lpstr>
      <vt:lpstr>'Ireland Mail'!FulfilmentVATTotal</vt:lpstr>
      <vt:lpstr>'Ireland Mail'!IntNettTotal</vt:lpstr>
      <vt:lpstr>'Ireland Mail'!IntQty</vt:lpstr>
      <vt:lpstr>'Ireland Mail'!IntTotal</vt:lpstr>
      <vt:lpstr>'Ireland Mail'!IntVATTotal</vt:lpstr>
      <vt:lpstr>'Ireland Mail'!ItemWt</vt:lpstr>
      <vt:lpstr>'Ireland Mail'!LastRateCell</vt:lpstr>
      <vt:lpstr>'Ireland Mail'!MailType</vt:lpstr>
      <vt:lpstr>'Ireland Mail'!Qty</vt:lpstr>
      <vt:lpstr>'Ireland Mail'!UKNettTotal</vt:lpstr>
      <vt:lpstr>'Ireland Mail'!UKQty</vt:lpstr>
      <vt:lpstr>'Ireland Mail'!UKTotal</vt:lpstr>
      <vt:lpstr>'Ireland Mail'!UKVATTotal</vt:lpstr>
      <vt:lpstr>'Ireland Mail'!VATFactor</vt:lpstr>
    </vt:vector>
  </TitlesOfParts>
  <Company>Air Business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Mark Chidemo</dc:creator>
  <cp:lastModifiedBy>Karen Hill</cp:lastModifiedBy>
  <cp:lastPrinted>2022-11-10T16:03:37Z</cp:lastPrinted>
  <dcterms:created xsi:type="dcterms:W3CDTF">2005-12-30T12:23:39Z</dcterms:created>
  <dcterms:modified xsi:type="dcterms:W3CDTF">2025-11-20T13:28:48Z</dcterms:modified>
</cp:coreProperties>
</file>