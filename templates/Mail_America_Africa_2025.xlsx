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ith\Hailey Road\Exports, Goods-Out\Templates\"/>
    </mc:Choice>
  </mc:AlternateContent>
  <xr:revisionPtr revIDLastSave="0" documentId="13_ncr:1_{D5B4180F-D5ED-4910-883E-8C9CDF11BC3A}" xr6:coauthVersionLast="47" xr6:coauthVersionMax="47" xr10:uidLastSave="{00000000-0000-0000-0000-000000000000}"/>
  <bookViews>
    <workbookView xWindow="28680" yWindow="-120" windowWidth="29040" windowHeight="15720" activeTab="1" xr2:uid="{8553F5BC-4AA4-4D11-87A9-C09B5038530C}"/>
  </bookViews>
  <sheets>
    <sheet name="Mail Africa 2025" sheetId="1" r:id="rId1"/>
    <sheet name="Mail Americas 2025" sheetId="2" r:id="rId2"/>
    <sheet name="Europe &amp; ROW 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4" i="3" l="1"/>
  <c r="H124" i="3"/>
  <c r="G124" i="3"/>
  <c r="F124" i="3"/>
  <c r="E124" i="3"/>
  <c r="D124" i="3"/>
  <c r="H123" i="2"/>
  <c r="G123" i="2"/>
  <c r="F123" i="2"/>
  <c r="E123" i="2"/>
  <c r="E69" i="1"/>
  <c r="H67" i="1"/>
  <c r="G69" i="1" s="1"/>
  <c r="G67" i="1"/>
  <c r="F67" i="1"/>
  <c r="E67" i="1"/>
  <c r="G125" i="2" l="1"/>
  <c r="E125" i="2"/>
  <c r="H126" i="3"/>
  <c r="D126" i="3"/>
</calcChain>
</file>

<file path=xl/sharedStrings.xml><?xml version="1.0" encoding="utf-8"?>
<sst xmlns="http://schemas.openxmlformats.org/spreadsheetml/2006/main" count="310" uniqueCount="186">
  <si>
    <t>REF:</t>
  </si>
  <si>
    <t>DATE:</t>
  </si>
  <si>
    <t>Mail Africa Manifest</t>
  </si>
  <si>
    <t>Country</t>
  </si>
  <si>
    <t>Weight Breaks</t>
  </si>
  <si>
    <t>Standard</t>
  </si>
  <si>
    <t>Lower 
Limit</t>
  </si>
  <si>
    <t>Higher 
Limit</t>
  </si>
  <si>
    <t>No ITEMS</t>
  </si>
  <si>
    <t>KGS</t>
  </si>
  <si>
    <t>Botswana</t>
  </si>
  <si>
    <t>Cameroon</t>
  </si>
  <si>
    <t>Egypt</t>
  </si>
  <si>
    <t>Ethiopia</t>
  </si>
  <si>
    <t>Ghana</t>
  </si>
  <si>
    <t>Kenya</t>
  </si>
  <si>
    <t>Malawi</t>
  </si>
  <si>
    <t>Mauritius</t>
  </si>
  <si>
    <t>Morocco</t>
  </si>
  <si>
    <t>Mozambique</t>
  </si>
  <si>
    <t>Namibia</t>
  </si>
  <si>
    <t>Nigeria</t>
  </si>
  <si>
    <t>South Africa</t>
  </si>
  <si>
    <t>Tanzania</t>
  </si>
  <si>
    <t>Uganda</t>
  </si>
  <si>
    <t>Zambia</t>
  </si>
  <si>
    <t>Zimbabwe</t>
  </si>
  <si>
    <t>TOTALS:</t>
  </si>
  <si>
    <t xml:space="preserve">Indicia Service </t>
  </si>
  <si>
    <t>8p p/item</t>
  </si>
  <si>
    <t>GRAND TOTAL:</t>
  </si>
  <si>
    <t>Mail Americas Manifest</t>
  </si>
  <si>
    <t xml:space="preserve">No ITEMS </t>
  </si>
  <si>
    <t>No ITMES</t>
  </si>
  <si>
    <t>Argentina</t>
  </si>
  <si>
    <t>Brazil</t>
  </si>
  <si>
    <t>Chile</t>
  </si>
  <si>
    <t>China</t>
  </si>
  <si>
    <t>Colombia</t>
  </si>
  <si>
    <t>Costa Rica</t>
  </si>
  <si>
    <t>Dominican Republic</t>
  </si>
  <si>
    <t>El Salvador</t>
  </si>
  <si>
    <t>Greece</t>
  </si>
  <si>
    <t>Guatemala</t>
  </si>
  <si>
    <t>India</t>
  </si>
  <si>
    <t>Indonesia</t>
  </si>
  <si>
    <t>Malaysia</t>
  </si>
  <si>
    <t>Mexico</t>
  </si>
  <si>
    <t>Paraguay</t>
  </si>
  <si>
    <t>Peru</t>
  </si>
  <si>
    <t>Philippines</t>
  </si>
  <si>
    <t>Saudi Arabia</t>
  </si>
  <si>
    <t>Thailand</t>
  </si>
  <si>
    <t>Turkey</t>
  </si>
  <si>
    <t>United Arab Emirates</t>
  </si>
  <si>
    <t>Uruguay</t>
  </si>
  <si>
    <t>Viet Nam</t>
  </si>
  <si>
    <t>Destination</t>
  </si>
  <si>
    <t>Item weight</t>
  </si>
  <si>
    <t>LETTERS (UP TO 100grms)</t>
  </si>
  <si>
    <t>FLATS</t>
  </si>
  <si>
    <t>PACKETS</t>
  </si>
  <si>
    <t>Austria</t>
  </si>
  <si>
    <t>0 - 2000 grs</t>
  </si>
  <si>
    <t>Bosnia &amp; Herzegovina</t>
  </si>
  <si>
    <t>Bulgaria</t>
  </si>
  <si>
    <t>Croatia</t>
  </si>
  <si>
    <t>0 - 250 grs</t>
  </si>
  <si>
    <t>251 - 2000 grs</t>
  </si>
  <si>
    <t>Cyprus</t>
  </si>
  <si>
    <t>Czech Rep</t>
  </si>
  <si>
    <t>Denmark</t>
  </si>
  <si>
    <t>Estonia</t>
  </si>
  <si>
    <t>Finland</t>
  </si>
  <si>
    <t>France</t>
  </si>
  <si>
    <t>Germany</t>
  </si>
  <si>
    <t>0 - 1000 grs</t>
  </si>
  <si>
    <t>1001 - 2000 grs</t>
  </si>
  <si>
    <t>Hungary</t>
  </si>
  <si>
    <t xml:space="preserve">Iceland </t>
  </si>
  <si>
    <t>Ireland</t>
  </si>
  <si>
    <t>Italy</t>
  </si>
  <si>
    <t>0 - 100 grs</t>
  </si>
  <si>
    <t>101 - 500 grs</t>
  </si>
  <si>
    <t>501 - 2000 grs</t>
  </si>
  <si>
    <t>Latvia</t>
  </si>
  <si>
    <t>Lithuania</t>
  </si>
  <si>
    <t>Macedonia</t>
  </si>
  <si>
    <t>Malta</t>
  </si>
  <si>
    <t>Poland</t>
  </si>
  <si>
    <t>Portugal</t>
  </si>
  <si>
    <t>Romania</t>
  </si>
  <si>
    <t>Russia</t>
  </si>
  <si>
    <t>101 - 2000 grs</t>
  </si>
  <si>
    <t>Serbia &amp; Montenegro</t>
  </si>
  <si>
    <t>Slovakia</t>
  </si>
  <si>
    <t>Slovenia</t>
  </si>
  <si>
    <t>Spain</t>
  </si>
  <si>
    <t>Sweden</t>
  </si>
  <si>
    <t>Switzerland</t>
  </si>
  <si>
    <t>Ukraine</t>
  </si>
  <si>
    <t xml:space="preserve">Australia </t>
  </si>
  <si>
    <t>Belgium</t>
  </si>
  <si>
    <t>Israel</t>
  </si>
  <si>
    <t>Japan</t>
  </si>
  <si>
    <t>Netherlands</t>
  </si>
  <si>
    <t>0 - 40 grs</t>
  </si>
  <si>
    <t>New Zealand</t>
  </si>
  <si>
    <t>41 - 2000 grs</t>
  </si>
  <si>
    <t xml:space="preserve">Europe &amp; ROW Non Ready to Ship </t>
  </si>
  <si>
    <t xml:space="preserve">Priority </t>
  </si>
  <si>
    <t>Algeria</t>
  </si>
  <si>
    <t>Angola</t>
  </si>
  <si>
    <t>Benin</t>
  </si>
  <si>
    <t>Burkina Faso</t>
  </si>
  <si>
    <t>Burundi</t>
  </si>
  <si>
    <t>Central African Rep.</t>
  </si>
  <si>
    <t>Chad</t>
  </si>
  <si>
    <t>Congo, Democratic Republic.</t>
  </si>
  <si>
    <t>Congo, Republic of</t>
  </si>
  <si>
    <t>Djibouti</t>
  </si>
  <si>
    <t>Equatorial Guinea</t>
  </si>
  <si>
    <t>Eritrea</t>
  </si>
  <si>
    <t>Gabon</t>
  </si>
  <si>
    <t>Gambia</t>
  </si>
  <si>
    <t>Guinea</t>
  </si>
  <si>
    <t>Ivory Coast</t>
  </si>
  <si>
    <t>Lesotho</t>
  </si>
  <si>
    <t>Liberia</t>
  </si>
  <si>
    <t>Madagascar</t>
  </si>
  <si>
    <t>Maldives</t>
  </si>
  <si>
    <t>Mali</t>
  </si>
  <si>
    <t>Mauritania</t>
  </si>
  <si>
    <t>Niger</t>
  </si>
  <si>
    <t>Rwanda</t>
  </si>
  <si>
    <t>Senegal</t>
  </si>
  <si>
    <t>Seychelles</t>
  </si>
  <si>
    <t>Sierra Leone</t>
  </si>
  <si>
    <t>Sudan</t>
  </si>
  <si>
    <t>Swaziland</t>
  </si>
  <si>
    <t>Togo</t>
  </si>
  <si>
    <t>Tunisia</t>
  </si>
  <si>
    <t>Canada</t>
  </si>
  <si>
    <t>USA</t>
  </si>
  <si>
    <t>Afghanistan</t>
  </si>
  <si>
    <t>Bangladesh</t>
  </si>
  <si>
    <t>Nepal</t>
  </si>
  <si>
    <t>Pakistan</t>
  </si>
  <si>
    <t>Sri Lanka</t>
  </si>
  <si>
    <t>Albania</t>
  </si>
  <si>
    <t>Armenia</t>
  </si>
  <si>
    <t>Azerbaijan</t>
  </si>
  <si>
    <t>Belarus</t>
  </si>
  <si>
    <t>Georgia</t>
  </si>
  <si>
    <t>Kazakhstan</t>
  </si>
  <si>
    <t>Kyrgyzstan</t>
  </si>
  <si>
    <t>Moldova</t>
  </si>
  <si>
    <t>Turkmenistan</t>
  </si>
  <si>
    <t>Uzbekistan</t>
  </si>
  <si>
    <t>Brunei Darussalam</t>
  </si>
  <si>
    <t>Cambodia</t>
  </si>
  <si>
    <t>Fiji</t>
  </si>
  <si>
    <t>Hong Kong</t>
  </si>
  <si>
    <t>Korea</t>
  </si>
  <si>
    <t>Myanmar</t>
  </si>
  <si>
    <t xml:space="preserve">New Caledonia </t>
  </si>
  <si>
    <t>Singapore</t>
  </si>
  <si>
    <t>Taiwan</t>
  </si>
  <si>
    <t>Bahrain</t>
  </si>
  <si>
    <t>Iraq</t>
  </si>
  <si>
    <t>Jordan</t>
  </si>
  <si>
    <t>Kuwait</t>
  </si>
  <si>
    <t>Lebanon</t>
  </si>
  <si>
    <t>Oman</t>
  </si>
  <si>
    <t>Qatar</t>
  </si>
  <si>
    <t>AFRICA</t>
  </si>
  <si>
    <t>AMERICAS</t>
  </si>
  <si>
    <t>ASIA</t>
  </si>
  <si>
    <t>EUROPE</t>
  </si>
  <si>
    <t>FAR EAST &amp; AUSTRALASIA</t>
  </si>
  <si>
    <t>MIDDLE EAST</t>
  </si>
  <si>
    <t>OCEANIA</t>
  </si>
  <si>
    <t>CUSTOMER:  Citipost Ltd</t>
  </si>
  <si>
    <t>CUSTOMER:  Citipost Ltd.</t>
  </si>
  <si>
    <t xml:space="preserve">REF:  </t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</si>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</sst>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#,##0.000_ ;\-#,##0.000\ "/>
    <numFmt numFmtId="166" formatCode="_-[$£-809]* #,##0.00_-;\-[$£-809]* #,##0.00_-;_-[$£-809]* &quot;-&quot;??_-;_-@_-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262">
    <xf numFmtId="0" fontId="0" fillId="0" borderId="0" xfId="0"/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3" fillId="0" borderId="16" xfId="1" applyNumberFormat="1" applyBorder="1" applyAlignment="1">
      <alignment horizontal="center" vertical="center" wrapText="1"/>
    </xf>
    <xf numFmtId="165" fontId="3" fillId="0" borderId="13" xfId="1" applyNumberFormat="1" applyBorder="1" applyAlignment="1">
      <alignment horizontal="center" vertical="center" wrapText="1"/>
    </xf>
    <xf numFmtId="164" fontId="3" fillId="0" borderId="17" xfId="1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3" fillId="0" borderId="21" xfId="1" applyNumberFormat="1" applyBorder="1" applyAlignment="1">
      <alignment horizontal="center" vertical="center" wrapText="1"/>
    </xf>
    <xf numFmtId="165" fontId="3" fillId="0" borderId="18" xfId="1" applyNumberFormat="1" applyBorder="1" applyAlignment="1">
      <alignment horizontal="center" vertical="center" wrapText="1"/>
    </xf>
    <xf numFmtId="164" fontId="3" fillId="0" borderId="22" xfId="1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3" fillId="0" borderId="26" xfId="1" applyNumberFormat="1" applyBorder="1" applyAlignment="1">
      <alignment horizontal="center" vertical="center" wrapText="1"/>
    </xf>
    <xf numFmtId="165" fontId="3" fillId="0" borderId="23" xfId="1" applyNumberFormat="1" applyBorder="1" applyAlignment="1">
      <alignment horizontal="center" vertical="center" wrapText="1"/>
    </xf>
    <xf numFmtId="164" fontId="3" fillId="0" borderId="27" xfId="1" applyNumberForma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3" fillId="0" borderId="31" xfId="1" applyNumberFormat="1" applyBorder="1" applyAlignment="1">
      <alignment horizontal="center" vertical="center" wrapText="1"/>
    </xf>
    <xf numFmtId="165" fontId="3" fillId="0" borderId="32" xfId="1" applyNumberFormat="1" applyBorder="1" applyAlignment="1">
      <alignment horizontal="center" vertical="center" wrapText="1"/>
    </xf>
    <xf numFmtId="164" fontId="3" fillId="0" borderId="0" xfId="1" applyNumberFormat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3" fillId="0" borderId="35" xfId="1" applyNumberFormat="1" applyBorder="1" applyAlignment="1">
      <alignment horizontal="center" vertical="center" wrapText="1"/>
    </xf>
    <xf numFmtId="165" fontId="3" fillId="0" borderId="28" xfId="1" applyNumberFormat="1" applyBorder="1" applyAlignment="1">
      <alignment horizontal="center" vertical="center" wrapText="1"/>
    </xf>
    <xf numFmtId="164" fontId="3" fillId="0" borderId="36" xfId="1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4" fontId="3" fillId="0" borderId="11" xfId="1" applyNumberFormat="1" applyBorder="1" applyAlignment="1">
      <alignment horizontal="center" vertical="center" wrapText="1"/>
    </xf>
    <xf numFmtId="165" fontId="3" fillId="0" borderId="10" xfId="1" applyNumberFormat="1" applyBorder="1" applyAlignment="1">
      <alignment horizontal="center" vertical="center" wrapText="1"/>
    </xf>
    <xf numFmtId="164" fontId="3" fillId="0" borderId="12" xfId="1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3" fillId="0" borderId="40" xfId="1" applyNumberFormat="1" applyBorder="1" applyAlignment="1">
      <alignment horizontal="center" vertical="center" wrapText="1"/>
    </xf>
    <xf numFmtId="165" fontId="3" fillId="0" borderId="9" xfId="1" applyNumberFormat="1" applyBorder="1" applyAlignment="1">
      <alignment horizontal="center" vertical="center" wrapText="1"/>
    </xf>
    <xf numFmtId="164" fontId="3" fillId="0" borderId="1" xfId="1" applyNumberFormat="1" applyBorder="1" applyAlignment="1">
      <alignment horizontal="center" vertical="center" wrapText="1"/>
    </xf>
    <xf numFmtId="0" fontId="5" fillId="0" borderId="0" xfId="0" applyFont="1"/>
    <xf numFmtId="2" fontId="0" fillId="0" borderId="0" xfId="0" applyNumberFormat="1"/>
    <xf numFmtId="3" fontId="0" fillId="0" borderId="25" xfId="0" applyNumberFormat="1" applyBorder="1" applyAlignment="1">
      <alignment horizontal="center" vertical="center"/>
    </xf>
    <xf numFmtId="0" fontId="0" fillId="3" borderId="0" xfId="0" applyFill="1"/>
    <xf numFmtId="0" fontId="6" fillId="2" borderId="9" xfId="0" applyFont="1" applyFill="1" applyBorder="1" applyAlignment="1">
      <alignment horizontal="center" vertical="center" wrapText="1"/>
    </xf>
    <xf numFmtId="164" fontId="7" fillId="0" borderId="40" xfId="1" applyNumberFormat="1" applyFont="1" applyBorder="1" applyAlignment="1">
      <alignment horizontal="center" vertical="center" wrapText="1"/>
    </xf>
    <xf numFmtId="165" fontId="7" fillId="0" borderId="9" xfId="1" applyNumberFormat="1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" fillId="0" borderId="16" xfId="2" applyNumberFormat="1" applyBorder="1"/>
    <xf numFmtId="165" fontId="1" fillId="0" borderId="13" xfId="2" applyNumberFormat="1" applyBorder="1"/>
    <xf numFmtId="164" fontId="0" fillId="0" borderId="13" xfId="0" applyNumberFormat="1" applyBorder="1"/>
    <xf numFmtId="167" fontId="0" fillId="0" borderId="42" xfId="0" applyNumberFormat="1" applyBorder="1"/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4" fontId="1" fillId="0" borderId="35" xfId="2" applyNumberFormat="1" applyBorder="1"/>
    <xf numFmtId="165" fontId="1" fillId="0" borderId="28" xfId="2" applyNumberFormat="1" applyBorder="1"/>
    <xf numFmtId="164" fontId="0" fillId="0" borderId="28" xfId="0" applyNumberFormat="1" applyBorder="1"/>
    <xf numFmtId="167" fontId="0" fillId="0" borderId="43" xfId="0" applyNumberFormat="1" applyBorder="1"/>
    <xf numFmtId="0" fontId="3" fillId="0" borderId="14" xfId="3" applyBorder="1" applyAlignment="1">
      <alignment horizontal="center" vertical="center"/>
    </xf>
    <xf numFmtId="0" fontId="3" fillId="0" borderId="15" xfId="3" applyBorder="1" applyAlignment="1">
      <alignment horizontal="center" vertical="center"/>
    </xf>
    <xf numFmtId="0" fontId="3" fillId="0" borderId="19" xfId="3" applyBorder="1" applyAlignment="1">
      <alignment horizontal="center" vertical="center"/>
    </xf>
    <xf numFmtId="0" fontId="3" fillId="0" borderId="20" xfId="3" applyBorder="1" applyAlignment="1">
      <alignment horizontal="center" vertical="center"/>
    </xf>
    <xf numFmtId="164" fontId="1" fillId="0" borderId="21" xfId="2" applyNumberFormat="1" applyBorder="1"/>
    <xf numFmtId="165" fontId="1" fillId="0" borderId="18" xfId="2" applyNumberFormat="1" applyBorder="1"/>
    <xf numFmtId="164" fontId="0" fillId="0" borderId="18" xfId="0" applyNumberFormat="1" applyBorder="1"/>
    <xf numFmtId="167" fontId="0" fillId="0" borderId="44" xfId="0" applyNumberFormat="1" applyBorder="1"/>
    <xf numFmtId="0" fontId="3" fillId="0" borderId="33" xfId="3" applyBorder="1" applyAlignment="1">
      <alignment horizontal="center" vertical="center"/>
    </xf>
    <xf numFmtId="0" fontId="3" fillId="0" borderId="34" xfId="3" applyBorder="1" applyAlignment="1">
      <alignment horizontal="center" vertical="center"/>
    </xf>
    <xf numFmtId="0" fontId="3" fillId="0" borderId="24" xfId="3" applyBorder="1" applyAlignment="1">
      <alignment horizontal="center" vertical="center"/>
    </xf>
    <xf numFmtId="0" fontId="3" fillId="0" borderId="25" xfId="3" applyBorder="1" applyAlignment="1">
      <alignment horizontal="center" vertical="center"/>
    </xf>
    <xf numFmtId="164" fontId="1" fillId="0" borderId="26" xfId="2" applyNumberFormat="1" applyBorder="1"/>
    <xf numFmtId="165" fontId="1" fillId="0" borderId="23" xfId="2" applyNumberFormat="1" applyBorder="1"/>
    <xf numFmtId="164" fontId="0" fillId="0" borderId="23" xfId="0" applyNumberFormat="1" applyBorder="1"/>
    <xf numFmtId="167" fontId="0" fillId="0" borderId="45" xfId="0" applyNumberFormat="1" applyBorder="1"/>
    <xf numFmtId="0" fontId="4" fillId="2" borderId="4" xfId="3" applyFont="1" applyFill="1" applyBorder="1" applyAlignment="1">
      <alignment horizontal="center" vertical="center"/>
    </xf>
    <xf numFmtId="0" fontId="3" fillId="0" borderId="46" xfId="3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3" fillId="0" borderId="47" xfId="3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3" fillId="0" borderId="48" xfId="3" applyBorder="1" applyAlignment="1">
      <alignment horizontal="center" vertical="center"/>
    </xf>
    <xf numFmtId="0" fontId="3" fillId="0" borderId="49" xfId="3" applyBorder="1" applyAlignment="1">
      <alignment horizontal="center" vertical="center"/>
    </xf>
    <xf numFmtId="0" fontId="3" fillId="0" borderId="50" xfId="3" applyBorder="1" applyAlignment="1">
      <alignment horizontal="center" vertical="center"/>
    </xf>
    <xf numFmtId="164" fontId="3" fillId="0" borderId="51" xfId="3" applyNumberFormat="1" applyBorder="1"/>
    <xf numFmtId="165" fontId="0" fillId="0" borderId="52" xfId="0" applyNumberFormat="1" applyBorder="1"/>
    <xf numFmtId="164" fontId="0" fillId="0" borderId="52" xfId="0" applyNumberFormat="1" applyBorder="1"/>
    <xf numFmtId="167" fontId="0" fillId="0" borderId="53" xfId="0" applyNumberFormat="1" applyBorder="1"/>
    <xf numFmtId="164" fontId="3" fillId="0" borderId="21" xfId="3" applyNumberFormat="1" applyBorder="1"/>
    <xf numFmtId="165" fontId="0" fillId="0" borderId="18" xfId="0" applyNumberFormat="1" applyBorder="1"/>
    <xf numFmtId="164" fontId="3" fillId="0" borderId="26" xfId="3" applyNumberFormat="1" applyBorder="1"/>
    <xf numFmtId="165" fontId="0" fillId="0" borderId="23" xfId="0" applyNumberFormat="1" applyBorder="1"/>
    <xf numFmtId="167" fontId="0" fillId="0" borderId="54" xfId="0" applyNumberFormat="1" applyBorder="1"/>
    <xf numFmtId="0" fontId="4" fillId="2" borderId="10" xfId="3" applyFont="1" applyFill="1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0" fontId="3" fillId="0" borderId="37" xfId="3" applyBorder="1" applyAlignment="1">
      <alignment horizontal="center" vertical="center"/>
    </xf>
    <xf numFmtId="164" fontId="1" fillId="0" borderId="11" xfId="2" applyNumberFormat="1" applyBorder="1"/>
    <xf numFmtId="165" fontId="1" fillId="0" borderId="10" xfId="2" applyNumberFormat="1" applyBorder="1"/>
    <xf numFmtId="164" fontId="0" fillId="0" borderId="10" xfId="0" applyNumberFormat="1" applyBorder="1"/>
    <xf numFmtId="167" fontId="0" fillId="0" borderId="41" xfId="0" applyNumberFormat="1" applyBorder="1"/>
    <xf numFmtId="0" fontId="3" fillId="0" borderId="38" xfId="3" applyBorder="1" applyAlignment="1">
      <alignment horizontal="center" vertical="center"/>
    </xf>
    <xf numFmtId="0" fontId="3" fillId="0" borderId="55" xfId="3" applyBorder="1" applyAlignment="1">
      <alignment horizontal="center" vertical="center"/>
    </xf>
    <xf numFmtId="164" fontId="1" fillId="0" borderId="40" xfId="2" applyNumberFormat="1" applyBorder="1"/>
    <xf numFmtId="165" fontId="1" fillId="0" borderId="9" xfId="2" applyNumberFormat="1" applyBorder="1"/>
    <xf numFmtId="164" fontId="0" fillId="0" borderId="9" xfId="0" applyNumberFormat="1" applyBorder="1"/>
    <xf numFmtId="165" fontId="0" fillId="0" borderId="13" xfId="0" applyNumberFormat="1" applyBorder="1"/>
    <xf numFmtId="0" fontId="1" fillId="0" borderId="14" xfId="2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164" fontId="6" fillId="0" borderId="40" xfId="2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5" fontId="6" fillId="0" borderId="54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2" borderId="56" xfId="3" applyFont="1" applyFill="1" applyBorder="1" applyAlignment="1">
      <alignment horizontal="center" vertical="center"/>
    </xf>
    <xf numFmtId="0" fontId="4" fillId="2" borderId="58" xfId="3" applyFont="1" applyFill="1" applyBorder="1" applyAlignment="1">
      <alignment horizontal="center" vertical="center"/>
    </xf>
    <xf numFmtId="164" fontId="0" fillId="0" borderId="4" xfId="0" applyNumberFormat="1" applyBorder="1"/>
    <xf numFmtId="167" fontId="0" fillId="0" borderId="57" xfId="0" applyNumberFormat="1" applyBorder="1"/>
    <xf numFmtId="164" fontId="1" fillId="0" borderId="56" xfId="2" applyNumberFormat="1" applyBorder="1"/>
    <xf numFmtId="165" fontId="1" fillId="0" borderId="4" xfId="2" applyNumberFormat="1" applyBorder="1"/>
    <xf numFmtId="164" fontId="1" fillId="0" borderId="51" xfId="2" applyNumberFormat="1" applyBorder="1"/>
    <xf numFmtId="164" fontId="1" fillId="0" borderId="13" xfId="2" applyNumberFormat="1" applyBorder="1"/>
    <xf numFmtId="164" fontId="1" fillId="0" borderId="18" xfId="2" applyNumberFormat="1" applyBorder="1"/>
    <xf numFmtId="164" fontId="1" fillId="0" borderId="23" xfId="2" applyNumberFormat="1" applyBorder="1"/>
    <xf numFmtId="164" fontId="0" fillId="4" borderId="42" xfId="0" applyNumberFormat="1" applyFill="1" applyBorder="1"/>
    <xf numFmtId="164" fontId="0" fillId="4" borderId="44" xfId="0" applyNumberFormat="1" applyFill="1" applyBorder="1"/>
    <xf numFmtId="164" fontId="0" fillId="4" borderId="45" xfId="0" applyNumberFormat="1" applyFill="1" applyBorder="1"/>
    <xf numFmtId="164" fontId="0" fillId="4" borderId="11" xfId="0" applyNumberFormat="1" applyFill="1" applyBorder="1"/>
    <xf numFmtId="164" fontId="0" fillId="4" borderId="10" xfId="0" applyNumberFormat="1" applyFill="1" applyBorder="1"/>
    <xf numFmtId="164" fontId="1" fillId="0" borderId="41" xfId="2" applyNumberFormat="1" applyBorder="1"/>
    <xf numFmtId="164" fontId="1" fillId="0" borderId="10" xfId="2" applyNumberFormat="1" applyBorder="1"/>
    <xf numFmtId="164" fontId="0" fillId="4" borderId="13" xfId="0" applyNumberFormat="1" applyFill="1" applyBorder="1"/>
    <xf numFmtId="164" fontId="0" fillId="4" borderId="23" xfId="0" applyNumberFormat="1" applyFill="1" applyBorder="1"/>
    <xf numFmtId="164" fontId="0" fillId="4" borderId="17" xfId="0" applyNumberFormat="1" applyFill="1" applyBorder="1"/>
    <xf numFmtId="164" fontId="0" fillId="4" borderId="27" xfId="0" applyNumberFormat="1" applyFill="1" applyBorder="1"/>
    <xf numFmtId="165" fontId="0" fillId="0" borderId="28" xfId="0" applyNumberFormat="1" applyBorder="1"/>
    <xf numFmtId="167" fontId="0" fillId="0" borderId="10" xfId="0" applyNumberFormat="1" applyBorder="1"/>
    <xf numFmtId="167" fontId="0" fillId="0" borderId="13" xfId="0" applyNumberFormat="1" applyBorder="1"/>
    <xf numFmtId="167" fontId="0" fillId="0" borderId="9" xfId="0" applyNumberFormat="1" applyBorder="1"/>
    <xf numFmtId="167" fontId="0" fillId="0" borderId="4" xfId="0" applyNumberFormat="1" applyBorder="1"/>
    <xf numFmtId="0" fontId="2" fillId="2" borderId="9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7" fontId="0" fillId="0" borderId="32" xfId="0" applyNumberFormat="1" applyBorder="1"/>
    <xf numFmtId="167" fontId="0" fillId="4" borderId="9" xfId="0" applyNumberFormat="1" applyFill="1" applyBorder="1"/>
    <xf numFmtId="167" fontId="0" fillId="4" borderId="32" xfId="0" applyNumberFormat="1" applyFill="1" applyBorder="1"/>
    <xf numFmtId="167" fontId="0" fillId="4" borderId="52" xfId="0" applyNumberFormat="1" applyFill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4" xfId="0" applyNumberFormat="1" applyBorder="1"/>
    <xf numFmtId="1" fontId="0" fillId="0" borderId="32" xfId="0" applyNumberFormat="1" applyBorder="1"/>
    <xf numFmtId="1" fontId="0" fillId="0" borderId="13" xfId="0" applyNumberFormat="1" applyBorder="1"/>
    <xf numFmtId="1" fontId="0" fillId="4" borderId="9" xfId="0" applyNumberFormat="1" applyFill="1" applyBorder="1"/>
    <xf numFmtId="1" fontId="0" fillId="4" borderId="32" xfId="0" applyNumberFormat="1" applyFill="1" applyBorder="1"/>
    <xf numFmtId="1" fontId="0" fillId="4" borderId="52" xfId="0" applyNumberFormat="1" applyFill="1" applyBorder="1"/>
    <xf numFmtId="1" fontId="0" fillId="0" borderId="52" xfId="0" applyNumberFormat="1" applyBorder="1"/>
    <xf numFmtId="167" fontId="0" fillId="0" borderId="52" xfId="0" applyNumberFormat="1" applyBorder="1"/>
    <xf numFmtId="1" fontId="7" fillId="2" borderId="54" xfId="3" applyNumberFormat="1" applyFont="1" applyFill="1" applyBorder="1" applyAlignment="1">
      <alignment horizontal="center" vertical="center"/>
    </xf>
    <xf numFmtId="167" fontId="6" fillId="2" borderId="40" xfId="2" applyNumberFormat="1" applyFont="1" applyFill="1" applyBorder="1" applyAlignment="1">
      <alignment horizontal="center"/>
    </xf>
    <xf numFmtId="1" fontId="6" fillId="2" borderId="9" xfId="0" applyNumberFormat="1" applyFont="1" applyFill="1" applyBorder="1" applyAlignment="1">
      <alignment horizontal="center"/>
    </xf>
    <xf numFmtId="167" fontId="6" fillId="2" borderId="9" xfId="0" applyNumberFormat="1" applyFont="1" applyFill="1" applyBorder="1" applyAlignment="1">
      <alignment horizontal="center"/>
    </xf>
    <xf numFmtId="164" fontId="6" fillId="2" borderId="54" xfId="0" applyNumberFormat="1" applyFont="1" applyFill="1" applyBorder="1" applyAlignment="1">
      <alignment horizontal="center"/>
    </xf>
    <xf numFmtId="167" fontId="6" fillId="2" borderId="54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9" fillId="0" borderId="0" xfId="0" applyFont="1"/>
    <xf numFmtId="0" fontId="0" fillId="5" borderId="12" xfId="0" applyFill="1" applyBorder="1"/>
    <xf numFmtId="0" fontId="0" fillId="5" borderId="41" xfId="0" applyFill="1" applyBorder="1"/>
    <xf numFmtId="1" fontId="0" fillId="5" borderId="12" xfId="0" applyNumberFormat="1" applyFill="1" applyBorder="1"/>
    <xf numFmtId="167" fontId="0" fillId="5" borderId="12" xfId="0" applyNumberFormat="1" applyFill="1" applyBorder="1"/>
    <xf numFmtId="167" fontId="0" fillId="5" borderId="41" xfId="0" applyNumberFormat="1" applyFill="1" applyBorder="1"/>
    <xf numFmtId="1" fontId="0" fillId="5" borderId="58" xfId="0" applyNumberFormat="1" applyFill="1" applyBorder="1"/>
    <xf numFmtId="167" fontId="0" fillId="5" borderId="58" xfId="0" applyNumberFormat="1" applyFill="1" applyBorder="1"/>
    <xf numFmtId="167" fontId="0" fillId="5" borderId="57" xfId="0" applyNumberFormat="1" applyFill="1" applyBorder="1"/>
    <xf numFmtId="1" fontId="0" fillId="5" borderId="56" xfId="0" applyNumberFormat="1" applyFill="1" applyBorder="1"/>
    <xf numFmtId="1" fontId="0" fillId="5" borderId="31" xfId="0" applyNumberFormat="1" applyFill="1" applyBorder="1"/>
    <xf numFmtId="167" fontId="0" fillId="5" borderId="0" xfId="0" applyNumberFormat="1" applyFill="1"/>
    <xf numFmtId="1" fontId="0" fillId="5" borderId="0" xfId="0" applyNumberFormat="1" applyFill="1"/>
    <xf numFmtId="167" fontId="0" fillId="5" borderId="59" xfId="0" applyNumberFormat="1" applyFill="1" applyBorder="1"/>
    <xf numFmtId="1" fontId="0" fillId="5" borderId="11" xfId="0" applyNumberFormat="1" applyFill="1" applyBorder="1"/>
    <xf numFmtId="0" fontId="4" fillId="5" borderId="11" xfId="3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66" fontId="0" fillId="5" borderId="12" xfId="0" applyNumberFormat="1" applyFill="1" applyBorder="1"/>
    <xf numFmtId="0" fontId="2" fillId="5" borderId="10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166" fontId="3" fillId="5" borderId="11" xfId="1" applyNumberFormat="1" applyFill="1" applyBorder="1" applyAlignment="1">
      <alignment horizontal="center" vertical="center" wrapText="1"/>
    </xf>
    <xf numFmtId="166" fontId="3" fillId="5" borderId="10" xfId="1" applyNumberFormat="1" applyFill="1" applyBorder="1" applyAlignment="1">
      <alignment horizontal="center" vertical="center" wrapText="1"/>
    </xf>
    <xf numFmtId="166" fontId="3" fillId="5" borderId="41" xfId="1" applyNumberFormat="1" applyFill="1" applyBorder="1" applyAlignment="1">
      <alignment horizontal="center" vertical="center" wrapText="1"/>
    </xf>
    <xf numFmtId="166" fontId="3" fillId="5" borderId="12" xfId="1" applyNumberFormat="1" applyFill="1" applyBorder="1" applyAlignment="1">
      <alignment horizontal="center" vertical="center" wrapText="1"/>
    </xf>
    <xf numFmtId="1" fontId="0" fillId="4" borderId="10" xfId="0" applyNumberFormat="1" applyFill="1" applyBorder="1"/>
    <xf numFmtId="167" fontId="0" fillId="4" borderId="10" xfId="0" applyNumberFormat="1" applyFill="1" applyBorder="1"/>
    <xf numFmtId="164" fontId="7" fillId="0" borderId="11" xfId="1" applyNumberFormat="1" applyFont="1" applyBorder="1" applyAlignment="1">
      <alignment horizontal="center" vertical="center" wrapText="1"/>
    </xf>
    <xf numFmtId="164" fontId="7" fillId="0" borderId="41" xfId="1" applyNumberFormat="1" applyFont="1" applyBorder="1" applyAlignment="1">
      <alignment horizontal="center" vertical="center" wrapText="1"/>
    </xf>
    <xf numFmtId="165" fontId="7" fillId="0" borderId="11" xfId="1" applyNumberFormat="1" applyFont="1" applyBorder="1" applyAlignment="1">
      <alignment horizontal="center" vertical="center" wrapText="1"/>
    </xf>
    <xf numFmtId="165" fontId="7" fillId="0" borderId="41" xfId="1" applyNumberFormat="1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41" xfId="3" applyFont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/>
    </xf>
    <xf numFmtId="164" fontId="6" fillId="0" borderId="41" xfId="2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41" xfId="0" applyNumberFormat="1" applyFont="1" applyBorder="1" applyAlignment="1">
      <alignment horizontal="center"/>
    </xf>
    <xf numFmtId="0" fontId="4" fillId="2" borderId="4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32" xfId="2" applyFont="1" applyFill="1" applyBorder="1" applyAlignment="1">
      <alignment horizontal="center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23" xfId="3" applyFont="1" applyFill="1" applyBorder="1" applyAlignment="1">
      <alignment horizontal="center" vertical="center"/>
    </xf>
    <xf numFmtId="0" fontId="7" fillId="2" borderId="11" xfId="3" applyFont="1" applyFill="1" applyBorder="1" applyAlignment="1">
      <alignment horizontal="center" vertical="center"/>
    </xf>
    <xf numFmtId="0" fontId="7" fillId="2" borderId="41" xfId="3" applyFont="1" applyFill="1" applyBorder="1" applyAlignment="1">
      <alignment horizontal="center" vertical="center"/>
    </xf>
    <xf numFmtId="164" fontId="7" fillId="0" borderId="11" xfId="3" applyNumberFormat="1" applyFont="1" applyBorder="1" applyAlignment="1">
      <alignment horizontal="center" vertical="center"/>
    </xf>
    <xf numFmtId="164" fontId="7" fillId="0" borderId="41" xfId="3" applyNumberFormat="1" applyFont="1" applyBorder="1" applyAlignment="1">
      <alignment horizontal="center" vertical="center"/>
    </xf>
    <xf numFmtId="164" fontId="6" fillId="5" borderId="11" xfId="0" applyNumberFormat="1" applyFont="1" applyFill="1" applyBorder="1" applyAlignment="1">
      <alignment horizontal="center"/>
    </xf>
    <xf numFmtId="164" fontId="6" fillId="5" borderId="41" xfId="0" applyNumberFormat="1" applyFont="1" applyFill="1" applyBorder="1" applyAlignment="1">
      <alignment horizontal="center"/>
    </xf>
    <xf numFmtId="0" fontId="8" fillId="5" borderId="56" xfId="0" applyFont="1" applyFill="1" applyBorder="1" applyAlignment="1">
      <alignment horizontal="center"/>
    </xf>
    <xf numFmtId="0" fontId="8" fillId="5" borderId="58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7" fillId="2" borderId="40" xfId="3" applyFont="1" applyFill="1" applyBorder="1" applyAlignment="1">
      <alignment horizontal="center" vertical="center"/>
    </xf>
    <xf numFmtId="0" fontId="7" fillId="2" borderId="54" xfId="3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/>
    </xf>
    <xf numFmtId="0" fontId="8" fillId="5" borderId="41" xfId="0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C837E4D-CF95-47A9-B00C-0641656505EF}"/>
    <cellStyle name="Normal 2 2" xfId="2" xr:uid="{3270E8E5-DEDD-4910-A1BA-BA6B7F477E80}"/>
    <cellStyle name="Normal 2 2 2" xfId="3" xr:uid="{E32CDFAD-81B3-4C7A-A319-C67D29648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0</xdr:rowOff>
    </xdr:from>
    <xdr:to>
      <xdr:col>8</xdr:col>
      <xdr:colOff>314325</xdr:colOff>
      <xdr:row>3</xdr:row>
      <xdr:rowOff>85725</xdr:rowOff>
    </xdr:to>
    <xdr:pic>
      <xdr:nvPicPr>
        <xdr:cNvPr id="4" name="Picture 3" descr="Logo small">
          <a:extLst>
            <a:ext uri="{FF2B5EF4-FFF2-40B4-BE49-F238E27FC236}">
              <a16:creationId xmlns:a16="http://schemas.microsoft.com/office/drawing/2014/main" id="{B032A316-1D34-427B-8AC0-F82140DD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0"/>
          <a:ext cx="19335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123826</xdr:colOff>
      <xdr:row>0</xdr:row>
      <xdr:rowOff>142875</xdr:rowOff>
    </xdr:from>
    <xdr:to>
      <xdr:col>2</xdr:col>
      <xdr:colOff>971551</xdr:colOff>
      <xdr:row>3</xdr:row>
      <xdr:rowOff>57150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B78BD285-23AB-4550-B19D-8C30E2E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142875"/>
          <a:ext cx="2228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657225</xdr:colOff>
      <xdr:row>0</xdr:row>
      <xdr:rowOff>47625</xdr:rowOff>
    </xdr:from>
    <xdr:to>
      <xdr:col>8</xdr:col>
      <xdr:colOff>285750</xdr:colOff>
      <xdr:row>3</xdr:row>
      <xdr:rowOff>133350</xdr:rowOff>
    </xdr:to>
    <xdr:pic>
      <xdr:nvPicPr>
        <xdr:cNvPr id="2" name="Picture 3" descr="Logo small">
          <a:extLst>
            <a:ext uri="{FF2B5EF4-FFF2-40B4-BE49-F238E27FC236}">
              <a16:creationId xmlns:a16="http://schemas.microsoft.com/office/drawing/2014/main" id="{E9FB7E24-E704-4771-828F-406E111F0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47625"/>
          <a:ext cx="15906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171450</xdr:rowOff>
    </xdr:from>
    <xdr:to>
      <xdr:col>2</xdr:col>
      <xdr:colOff>962025</xdr:colOff>
      <xdr:row>3</xdr:row>
      <xdr:rowOff>85725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71F67F0-6AF3-4448-81ED-E352FDF5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71450"/>
          <a:ext cx="22098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38100</xdr:rowOff>
    </xdr:from>
    <xdr:to>
      <xdr:col>8</xdr:col>
      <xdr:colOff>752475</xdr:colOff>
      <xdr:row>3</xdr:row>
      <xdr:rowOff>123825</xdr:rowOff>
    </xdr:to>
    <xdr:pic>
      <xdr:nvPicPr>
        <xdr:cNvPr id="2" name="Picture 3" descr="Logo small">
          <a:extLst>
            <a:ext uri="{FF2B5EF4-FFF2-40B4-BE49-F238E27FC236}">
              <a16:creationId xmlns:a16="http://schemas.microsoft.com/office/drawing/2014/main" id="{A083438F-F2DF-4ED2-9632-824FB7A1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38100"/>
          <a:ext cx="2009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190501</xdr:colOff>
      <xdr:row>0</xdr:row>
      <xdr:rowOff>133350</xdr:rowOff>
    </xdr:from>
    <xdr:to>
      <xdr:col>2</xdr:col>
      <xdr:colOff>561976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5FD45-EC6D-4516-AA86-92620A4C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1" y="133350"/>
          <a:ext cx="21526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704850</xdr:colOff>
      <xdr:row>0</xdr:row>
      <xdr:rowOff>38100</xdr:rowOff>
    </xdr:from>
    <xdr:to>
      <xdr:col>8</xdr:col>
      <xdr:colOff>752475</xdr:colOff>
      <xdr:row>3</xdr:row>
      <xdr:rowOff>123825</xdr:rowOff>
    </xdr:to>
    <xdr:pic>
      <xdr:nvPicPr>
        <xdr:cNvPr id="4" name="Picture 3" descr="Logo small">
          <a:extLst>
            <a:ext uri="{FF2B5EF4-FFF2-40B4-BE49-F238E27FC236}">
              <a16:creationId xmlns:a16="http://schemas.microsoft.com/office/drawing/2014/main" id="{064F2B4B-24C8-4272-9C33-ECAF83EC8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38100"/>
          <a:ext cx="2009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190501</xdr:colOff>
      <xdr:row>0</xdr:row>
      <xdr:rowOff>133350</xdr:rowOff>
    </xdr:from>
    <xdr:to>
      <xdr:col>2</xdr:col>
      <xdr:colOff>561976</xdr:colOff>
      <xdr:row>3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74728A-E45D-4DF9-845D-01A3F23D0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1" y="133350"/>
          <a:ext cx="21526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6BD-BF43-4383-95A9-A250F905C7F5}">
  <dimension ref="B5:S69"/>
  <sheetViews>
    <sheetView topLeftCell="A10" workbookViewId="0">
      <selection activeCell="B61" sqref="B61:B62"/>
    </sheetView>
  </sheetViews>
  <sheetFormatPr defaultColWidth="11.42578125" defaultRowHeight="15" x14ac:dyDescent="0.25"/>
  <cols>
    <col min="1" max="1" width="2.85546875" customWidth="1"/>
    <col min="2" max="2" width="20.7109375" customWidth="1"/>
    <col min="3" max="8" width="14.7109375" customWidth="1"/>
    <col min="257" max="257" width="2.85546875" customWidth="1"/>
    <col min="258" max="258" width="20.7109375" customWidth="1"/>
    <col min="259" max="264" width="14.7109375" customWidth="1"/>
    <col min="513" max="513" width="2.85546875" customWidth="1"/>
    <col min="514" max="514" width="20.7109375" customWidth="1"/>
    <col min="515" max="520" width="14.7109375" customWidth="1"/>
    <col min="769" max="769" width="2.85546875" customWidth="1"/>
    <col min="770" max="770" width="20.7109375" customWidth="1"/>
    <col min="771" max="776" width="14.7109375" customWidth="1"/>
    <col min="1025" max="1025" width="2.85546875" customWidth="1"/>
    <col min="1026" max="1026" width="20.7109375" customWidth="1"/>
    <col min="1027" max="1032" width="14.7109375" customWidth="1"/>
    <col min="1281" max="1281" width="2.85546875" customWidth="1"/>
    <col min="1282" max="1282" width="20.7109375" customWidth="1"/>
    <col min="1283" max="1288" width="14.7109375" customWidth="1"/>
    <col min="1537" max="1537" width="2.85546875" customWidth="1"/>
    <col min="1538" max="1538" width="20.7109375" customWidth="1"/>
    <col min="1539" max="1544" width="14.7109375" customWidth="1"/>
    <col min="1793" max="1793" width="2.85546875" customWidth="1"/>
    <col min="1794" max="1794" width="20.7109375" customWidth="1"/>
    <col min="1795" max="1800" width="14.7109375" customWidth="1"/>
    <col min="2049" max="2049" width="2.85546875" customWidth="1"/>
    <col min="2050" max="2050" width="20.7109375" customWidth="1"/>
    <col min="2051" max="2056" width="14.7109375" customWidth="1"/>
    <col min="2305" max="2305" width="2.85546875" customWidth="1"/>
    <col min="2306" max="2306" width="20.7109375" customWidth="1"/>
    <col min="2307" max="2312" width="14.7109375" customWidth="1"/>
    <col min="2561" max="2561" width="2.85546875" customWidth="1"/>
    <col min="2562" max="2562" width="20.7109375" customWidth="1"/>
    <col min="2563" max="2568" width="14.7109375" customWidth="1"/>
    <col min="2817" max="2817" width="2.85546875" customWidth="1"/>
    <col min="2818" max="2818" width="20.7109375" customWidth="1"/>
    <col min="2819" max="2824" width="14.7109375" customWidth="1"/>
    <col min="3073" max="3073" width="2.85546875" customWidth="1"/>
    <col min="3074" max="3074" width="20.7109375" customWidth="1"/>
    <col min="3075" max="3080" width="14.7109375" customWidth="1"/>
    <col min="3329" max="3329" width="2.85546875" customWidth="1"/>
    <col min="3330" max="3330" width="20.7109375" customWidth="1"/>
    <col min="3331" max="3336" width="14.7109375" customWidth="1"/>
    <col min="3585" max="3585" width="2.85546875" customWidth="1"/>
    <col min="3586" max="3586" width="20.7109375" customWidth="1"/>
    <col min="3587" max="3592" width="14.7109375" customWidth="1"/>
    <col min="3841" max="3841" width="2.85546875" customWidth="1"/>
    <col min="3842" max="3842" width="20.7109375" customWidth="1"/>
    <col min="3843" max="3848" width="14.7109375" customWidth="1"/>
    <col min="4097" max="4097" width="2.85546875" customWidth="1"/>
    <col min="4098" max="4098" width="20.7109375" customWidth="1"/>
    <col min="4099" max="4104" width="14.7109375" customWidth="1"/>
    <col min="4353" max="4353" width="2.85546875" customWidth="1"/>
    <col min="4354" max="4354" width="20.7109375" customWidth="1"/>
    <col min="4355" max="4360" width="14.7109375" customWidth="1"/>
    <col min="4609" max="4609" width="2.85546875" customWidth="1"/>
    <col min="4610" max="4610" width="20.7109375" customWidth="1"/>
    <col min="4611" max="4616" width="14.7109375" customWidth="1"/>
    <col min="4865" max="4865" width="2.85546875" customWidth="1"/>
    <col min="4866" max="4866" width="20.7109375" customWidth="1"/>
    <col min="4867" max="4872" width="14.7109375" customWidth="1"/>
    <col min="5121" max="5121" width="2.85546875" customWidth="1"/>
    <col min="5122" max="5122" width="20.7109375" customWidth="1"/>
    <col min="5123" max="5128" width="14.7109375" customWidth="1"/>
    <col min="5377" max="5377" width="2.85546875" customWidth="1"/>
    <col min="5378" max="5378" width="20.7109375" customWidth="1"/>
    <col min="5379" max="5384" width="14.7109375" customWidth="1"/>
    <col min="5633" max="5633" width="2.85546875" customWidth="1"/>
    <col min="5634" max="5634" width="20.7109375" customWidth="1"/>
    <col min="5635" max="5640" width="14.7109375" customWidth="1"/>
    <col min="5889" max="5889" width="2.85546875" customWidth="1"/>
    <col min="5890" max="5890" width="20.7109375" customWidth="1"/>
    <col min="5891" max="5896" width="14.7109375" customWidth="1"/>
    <col min="6145" max="6145" width="2.85546875" customWidth="1"/>
    <col min="6146" max="6146" width="20.7109375" customWidth="1"/>
    <col min="6147" max="6152" width="14.7109375" customWidth="1"/>
    <col min="6401" max="6401" width="2.85546875" customWidth="1"/>
    <col min="6402" max="6402" width="20.7109375" customWidth="1"/>
    <col min="6403" max="6408" width="14.7109375" customWidth="1"/>
    <col min="6657" max="6657" width="2.85546875" customWidth="1"/>
    <col min="6658" max="6658" width="20.7109375" customWidth="1"/>
    <col min="6659" max="6664" width="14.7109375" customWidth="1"/>
    <col min="6913" max="6913" width="2.85546875" customWidth="1"/>
    <col min="6914" max="6914" width="20.7109375" customWidth="1"/>
    <col min="6915" max="6920" width="14.7109375" customWidth="1"/>
    <col min="7169" max="7169" width="2.85546875" customWidth="1"/>
    <col min="7170" max="7170" width="20.7109375" customWidth="1"/>
    <col min="7171" max="7176" width="14.7109375" customWidth="1"/>
    <col min="7425" max="7425" width="2.85546875" customWidth="1"/>
    <col min="7426" max="7426" width="20.7109375" customWidth="1"/>
    <col min="7427" max="7432" width="14.7109375" customWidth="1"/>
    <col min="7681" max="7681" width="2.85546875" customWidth="1"/>
    <col min="7682" max="7682" width="20.7109375" customWidth="1"/>
    <col min="7683" max="7688" width="14.7109375" customWidth="1"/>
    <col min="7937" max="7937" width="2.85546875" customWidth="1"/>
    <col min="7938" max="7938" width="20.7109375" customWidth="1"/>
    <col min="7939" max="7944" width="14.7109375" customWidth="1"/>
    <col min="8193" max="8193" width="2.85546875" customWidth="1"/>
    <col min="8194" max="8194" width="20.7109375" customWidth="1"/>
    <col min="8195" max="8200" width="14.7109375" customWidth="1"/>
    <col min="8449" max="8449" width="2.85546875" customWidth="1"/>
    <col min="8450" max="8450" width="20.7109375" customWidth="1"/>
    <col min="8451" max="8456" width="14.7109375" customWidth="1"/>
    <col min="8705" max="8705" width="2.85546875" customWidth="1"/>
    <col min="8706" max="8706" width="20.7109375" customWidth="1"/>
    <col min="8707" max="8712" width="14.7109375" customWidth="1"/>
    <col min="8961" max="8961" width="2.85546875" customWidth="1"/>
    <col min="8962" max="8962" width="20.7109375" customWidth="1"/>
    <col min="8963" max="8968" width="14.7109375" customWidth="1"/>
    <col min="9217" max="9217" width="2.85546875" customWidth="1"/>
    <col min="9218" max="9218" width="20.7109375" customWidth="1"/>
    <col min="9219" max="9224" width="14.7109375" customWidth="1"/>
    <col min="9473" max="9473" width="2.85546875" customWidth="1"/>
    <col min="9474" max="9474" width="20.7109375" customWidth="1"/>
    <col min="9475" max="9480" width="14.7109375" customWidth="1"/>
    <col min="9729" max="9729" width="2.85546875" customWidth="1"/>
    <col min="9730" max="9730" width="20.7109375" customWidth="1"/>
    <col min="9731" max="9736" width="14.7109375" customWidth="1"/>
    <col min="9985" max="9985" width="2.85546875" customWidth="1"/>
    <col min="9986" max="9986" width="20.7109375" customWidth="1"/>
    <col min="9987" max="9992" width="14.7109375" customWidth="1"/>
    <col min="10241" max="10241" width="2.85546875" customWidth="1"/>
    <col min="10242" max="10242" width="20.7109375" customWidth="1"/>
    <col min="10243" max="10248" width="14.7109375" customWidth="1"/>
    <col min="10497" max="10497" width="2.85546875" customWidth="1"/>
    <col min="10498" max="10498" width="20.7109375" customWidth="1"/>
    <col min="10499" max="10504" width="14.7109375" customWidth="1"/>
    <col min="10753" max="10753" width="2.85546875" customWidth="1"/>
    <col min="10754" max="10754" width="20.7109375" customWidth="1"/>
    <col min="10755" max="10760" width="14.7109375" customWidth="1"/>
    <col min="11009" max="11009" width="2.85546875" customWidth="1"/>
    <col min="11010" max="11010" width="20.7109375" customWidth="1"/>
    <col min="11011" max="11016" width="14.7109375" customWidth="1"/>
    <col min="11265" max="11265" width="2.85546875" customWidth="1"/>
    <col min="11266" max="11266" width="20.7109375" customWidth="1"/>
    <col min="11267" max="11272" width="14.7109375" customWidth="1"/>
    <col min="11521" max="11521" width="2.85546875" customWidth="1"/>
    <col min="11522" max="11522" width="20.7109375" customWidth="1"/>
    <col min="11523" max="11528" width="14.7109375" customWidth="1"/>
    <col min="11777" max="11777" width="2.85546875" customWidth="1"/>
    <col min="11778" max="11778" width="20.7109375" customWidth="1"/>
    <col min="11779" max="11784" width="14.7109375" customWidth="1"/>
    <col min="12033" max="12033" width="2.85546875" customWidth="1"/>
    <col min="12034" max="12034" width="20.7109375" customWidth="1"/>
    <col min="12035" max="12040" width="14.7109375" customWidth="1"/>
    <col min="12289" max="12289" width="2.85546875" customWidth="1"/>
    <col min="12290" max="12290" width="20.7109375" customWidth="1"/>
    <col min="12291" max="12296" width="14.7109375" customWidth="1"/>
    <col min="12545" max="12545" width="2.85546875" customWidth="1"/>
    <col min="12546" max="12546" width="20.7109375" customWidth="1"/>
    <col min="12547" max="12552" width="14.7109375" customWidth="1"/>
    <col min="12801" max="12801" width="2.85546875" customWidth="1"/>
    <col min="12802" max="12802" width="20.7109375" customWidth="1"/>
    <col min="12803" max="12808" width="14.7109375" customWidth="1"/>
    <col min="13057" max="13057" width="2.85546875" customWidth="1"/>
    <col min="13058" max="13058" width="20.7109375" customWidth="1"/>
    <col min="13059" max="13064" width="14.7109375" customWidth="1"/>
    <col min="13313" max="13313" width="2.85546875" customWidth="1"/>
    <col min="13314" max="13314" width="20.7109375" customWidth="1"/>
    <col min="13315" max="13320" width="14.7109375" customWidth="1"/>
    <col min="13569" max="13569" width="2.85546875" customWidth="1"/>
    <col min="13570" max="13570" width="20.7109375" customWidth="1"/>
    <col min="13571" max="13576" width="14.7109375" customWidth="1"/>
    <col min="13825" max="13825" width="2.85546875" customWidth="1"/>
    <col min="13826" max="13826" width="20.7109375" customWidth="1"/>
    <col min="13827" max="13832" width="14.7109375" customWidth="1"/>
    <col min="14081" max="14081" width="2.85546875" customWidth="1"/>
    <col min="14082" max="14082" width="20.7109375" customWidth="1"/>
    <col min="14083" max="14088" width="14.7109375" customWidth="1"/>
    <col min="14337" max="14337" width="2.85546875" customWidth="1"/>
    <col min="14338" max="14338" width="20.7109375" customWidth="1"/>
    <col min="14339" max="14344" width="14.7109375" customWidth="1"/>
    <col min="14593" max="14593" width="2.85546875" customWidth="1"/>
    <col min="14594" max="14594" width="20.7109375" customWidth="1"/>
    <col min="14595" max="14600" width="14.7109375" customWidth="1"/>
    <col min="14849" max="14849" width="2.85546875" customWidth="1"/>
    <col min="14850" max="14850" width="20.7109375" customWidth="1"/>
    <col min="14851" max="14856" width="14.7109375" customWidth="1"/>
    <col min="15105" max="15105" width="2.85546875" customWidth="1"/>
    <col min="15106" max="15106" width="20.7109375" customWidth="1"/>
    <col min="15107" max="15112" width="14.7109375" customWidth="1"/>
    <col min="15361" max="15361" width="2.85546875" customWidth="1"/>
    <col min="15362" max="15362" width="20.7109375" customWidth="1"/>
    <col min="15363" max="15368" width="14.7109375" customWidth="1"/>
    <col min="15617" max="15617" width="2.85546875" customWidth="1"/>
    <col min="15618" max="15618" width="20.7109375" customWidth="1"/>
    <col min="15619" max="15624" width="14.7109375" customWidth="1"/>
    <col min="15873" max="15873" width="2.85546875" customWidth="1"/>
    <col min="15874" max="15874" width="20.7109375" customWidth="1"/>
    <col min="15875" max="15880" width="14.7109375" customWidth="1"/>
    <col min="16129" max="16129" width="2.85546875" customWidth="1"/>
    <col min="16130" max="16130" width="20.7109375" customWidth="1"/>
    <col min="16131" max="16136" width="14.7109375" customWidth="1"/>
  </cols>
  <sheetData>
    <row r="5" spans="2:8" ht="15.75" thickBot="1" x14ac:dyDescent="0.3">
      <c r="B5" s="212" t="s">
        <v>183</v>
      </c>
      <c r="C5" s="212"/>
      <c r="D5" s="212"/>
      <c r="E5" s="212" t="s">
        <v>0</v>
      </c>
      <c r="F5" s="212"/>
      <c r="G5" s="212" t="s">
        <v>1</v>
      </c>
      <c r="H5" s="212"/>
    </row>
    <row r="6" spans="2:8" ht="15.75" thickBot="1" x14ac:dyDescent="0.3">
      <c r="B6" s="213" t="s">
        <v>2</v>
      </c>
      <c r="C6" s="214"/>
      <c r="D6" s="214"/>
      <c r="E6" s="214"/>
      <c r="F6" s="214"/>
      <c r="G6" s="214"/>
      <c r="H6" s="214"/>
    </row>
    <row r="7" spans="2:8" ht="15.75" thickBot="1" x14ac:dyDescent="0.3">
      <c r="B7" s="215" t="s">
        <v>3</v>
      </c>
      <c r="C7" s="217" t="s">
        <v>4</v>
      </c>
      <c r="D7" s="217"/>
      <c r="E7" s="218" t="s">
        <v>5</v>
      </c>
      <c r="F7" s="219"/>
      <c r="G7" s="220" t="s">
        <v>110</v>
      </c>
      <c r="H7" s="221"/>
    </row>
    <row r="8" spans="2:8" ht="30.75" thickBot="1" x14ac:dyDescent="0.3">
      <c r="B8" s="216"/>
      <c r="C8" s="1" t="s">
        <v>6</v>
      </c>
      <c r="D8" s="2" t="s">
        <v>7</v>
      </c>
      <c r="E8" s="3" t="s">
        <v>8</v>
      </c>
      <c r="F8" s="4" t="s">
        <v>9</v>
      </c>
      <c r="G8" s="5" t="s">
        <v>8</v>
      </c>
      <c r="H8" s="4" t="s">
        <v>9</v>
      </c>
    </row>
    <row r="9" spans="2:8" x14ac:dyDescent="0.25">
      <c r="B9" s="203" t="s">
        <v>10</v>
      </c>
      <c r="C9" s="6">
        <v>0</v>
      </c>
      <c r="D9" s="7">
        <v>50</v>
      </c>
      <c r="E9" s="8"/>
      <c r="F9" s="9"/>
      <c r="G9" s="10"/>
      <c r="H9" s="9"/>
    </row>
    <row r="10" spans="2:8" x14ac:dyDescent="0.25">
      <c r="B10" s="204"/>
      <c r="C10" s="11">
        <v>51</v>
      </c>
      <c r="D10" s="12">
        <v>250</v>
      </c>
      <c r="E10" s="13"/>
      <c r="F10" s="14"/>
      <c r="G10" s="15"/>
      <c r="H10" s="14"/>
    </row>
    <row r="11" spans="2:8" x14ac:dyDescent="0.25">
      <c r="B11" s="204"/>
      <c r="C11" s="11">
        <v>251</v>
      </c>
      <c r="D11" s="12">
        <v>500</v>
      </c>
      <c r="E11" s="13"/>
      <c r="F11" s="14"/>
      <c r="G11" s="15"/>
      <c r="H11" s="14"/>
    </row>
    <row r="12" spans="2:8" x14ac:dyDescent="0.25">
      <c r="B12" s="204"/>
      <c r="C12" s="11">
        <v>501</v>
      </c>
      <c r="D12" s="12">
        <v>1000</v>
      </c>
      <c r="E12" s="13"/>
      <c r="F12" s="14"/>
      <c r="G12" s="15"/>
      <c r="H12" s="14"/>
    </row>
    <row r="13" spans="2:8" ht="15.75" thickBot="1" x14ac:dyDescent="0.3">
      <c r="B13" s="205"/>
      <c r="C13" s="16">
        <v>1001</v>
      </c>
      <c r="D13" s="17">
        <v>2000</v>
      </c>
      <c r="E13" s="18"/>
      <c r="F13" s="19"/>
      <c r="G13" s="20"/>
      <c r="H13" s="19"/>
    </row>
    <row r="14" spans="2:8" x14ac:dyDescent="0.25">
      <c r="B14" s="203" t="s">
        <v>11</v>
      </c>
      <c r="C14" s="6">
        <v>0</v>
      </c>
      <c r="D14" s="7">
        <v>50</v>
      </c>
      <c r="E14" s="8"/>
      <c r="F14" s="9"/>
      <c r="G14" s="10"/>
      <c r="H14" s="9"/>
    </row>
    <row r="15" spans="2:8" x14ac:dyDescent="0.25">
      <c r="B15" s="204"/>
      <c r="C15" s="11">
        <v>51</v>
      </c>
      <c r="D15" s="12">
        <v>100</v>
      </c>
      <c r="E15" s="13"/>
      <c r="F15" s="14"/>
      <c r="G15" s="15"/>
      <c r="H15" s="14"/>
    </row>
    <row r="16" spans="2:8" ht="15.75" thickBot="1" x14ac:dyDescent="0.3">
      <c r="B16" s="205"/>
      <c r="C16" s="16">
        <v>101</v>
      </c>
      <c r="D16" s="17">
        <v>2000</v>
      </c>
      <c r="E16" s="18"/>
      <c r="F16" s="19"/>
      <c r="G16" s="20"/>
      <c r="H16" s="19"/>
    </row>
    <row r="17" spans="2:8" x14ac:dyDescent="0.25">
      <c r="B17" s="203" t="s">
        <v>12</v>
      </c>
      <c r="C17" s="6">
        <v>0</v>
      </c>
      <c r="D17" s="7">
        <v>75</v>
      </c>
      <c r="E17" s="8"/>
      <c r="F17" s="9"/>
      <c r="G17" s="10"/>
      <c r="H17" s="9"/>
    </row>
    <row r="18" spans="2:8" ht="15.75" thickBot="1" x14ac:dyDescent="0.3">
      <c r="B18" s="205"/>
      <c r="C18" s="16">
        <v>76</v>
      </c>
      <c r="D18" s="17">
        <v>2000</v>
      </c>
      <c r="E18" s="18"/>
      <c r="F18" s="19"/>
      <c r="G18" s="20"/>
      <c r="H18" s="19"/>
    </row>
    <row r="19" spans="2:8" x14ac:dyDescent="0.25">
      <c r="B19" s="203" t="s">
        <v>13</v>
      </c>
      <c r="C19" s="6">
        <v>0</v>
      </c>
      <c r="D19" s="7">
        <v>50</v>
      </c>
      <c r="E19" s="8"/>
      <c r="F19" s="9"/>
      <c r="G19" s="10"/>
      <c r="H19" s="9"/>
    </row>
    <row r="20" spans="2:8" x14ac:dyDescent="0.25">
      <c r="B20" s="204"/>
      <c r="C20" s="11">
        <v>51</v>
      </c>
      <c r="D20" s="12">
        <v>250</v>
      </c>
      <c r="E20" s="13"/>
      <c r="F20" s="14"/>
      <c r="G20" s="15"/>
      <c r="H20" s="14"/>
    </row>
    <row r="21" spans="2:8" x14ac:dyDescent="0.25">
      <c r="B21" s="204"/>
      <c r="C21" s="11">
        <v>251</v>
      </c>
      <c r="D21" s="12">
        <v>500</v>
      </c>
      <c r="E21" s="13"/>
      <c r="F21" s="14"/>
      <c r="G21" s="15"/>
      <c r="H21" s="14"/>
    </row>
    <row r="22" spans="2:8" x14ac:dyDescent="0.25">
      <c r="B22" s="204"/>
      <c r="C22" s="11">
        <v>501</v>
      </c>
      <c r="D22" s="12">
        <v>1000</v>
      </c>
      <c r="E22" s="13"/>
      <c r="F22" s="14"/>
      <c r="G22" s="15"/>
      <c r="H22" s="14"/>
    </row>
    <row r="23" spans="2:8" ht="15.75" thickBot="1" x14ac:dyDescent="0.3">
      <c r="B23" s="205"/>
      <c r="C23" s="16">
        <v>1001</v>
      </c>
      <c r="D23" s="17">
        <v>2000</v>
      </c>
      <c r="E23" s="18"/>
      <c r="F23" s="19"/>
      <c r="G23" s="20"/>
      <c r="H23" s="19"/>
    </row>
    <row r="24" spans="2:8" x14ac:dyDescent="0.25">
      <c r="B24" s="203" t="s">
        <v>14</v>
      </c>
      <c r="C24" s="6">
        <v>0</v>
      </c>
      <c r="D24" s="7">
        <v>100</v>
      </c>
      <c r="E24" s="8"/>
      <c r="F24" s="9"/>
      <c r="G24" s="10"/>
      <c r="H24" s="9"/>
    </row>
    <row r="25" spans="2:8" ht="15.75" customHeight="1" thickBot="1" x14ac:dyDescent="0.3">
      <c r="B25" s="208"/>
      <c r="C25" s="16">
        <v>101</v>
      </c>
      <c r="D25" s="17">
        <v>20000</v>
      </c>
      <c r="E25" s="18"/>
      <c r="F25" s="19"/>
      <c r="G25" s="20"/>
      <c r="H25" s="19"/>
    </row>
    <row r="26" spans="2:8" x14ac:dyDescent="0.25">
      <c r="B26" s="203" t="s">
        <v>15</v>
      </c>
      <c r="C26" s="6">
        <v>0</v>
      </c>
      <c r="D26" s="7">
        <v>20</v>
      </c>
      <c r="E26" s="8"/>
      <c r="F26" s="9"/>
      <c r="G26" s="10"/>
      <c r="H26" s="9"/>
    </row>
    <row r="27" spans="2:8" x14ac:dyDescent="0.25">
      <c r="B27" s="204"/>
      <c r="C27" s="11">
        <v>21</v>
      </c>
      <c r="D27" s="12">
        <v>50</v>
      </c>
      <c r="E27" s="13"/>
      <c r="F27" s="14"/>
      <c r="G27" s="15"/>
      <c r="H27" s="14"/>
    </row>
    <row r="28" spans="2:8" x14ac:dyDescent="0.25">
      <c r="B28" s="204"/>
      <c r="C28" s="11">
        <v>51</v>
      </c>
      <c r="D28" s="12">
        <v>100</v>
      </c>
      <c r="E28" s="13"/>
      <c r="F28" s="14"/>
      <c r="G28" s="15"/>
      <c r="H28" s="14"/>
    </row>
    <row r="29" spans="2:8" x14ac:dyDescent="0.25">
      <c r="B29" s="209"/>
      <c r="C29" s="11">
        <v>101</v>
      </c>
      <c r="D29" s="12">
        <v>250</v>
      </c>
      <c r="E29" s="13"/>
      <c r="F29" s="14"/>
      <c r="G29" s="15"/>
      <c r="H29" s="14"/>
    </row>
    <row r="30" spans="2:8" x14ac:dyDescent="0.25">
      <c r="B30" s="209"/>
      <c r="C30" s="21">
        <v>251</v>
      </c>
      <c r="D30" s="22">
        <v>500</v>
      </c>
      <c r="E30" s="23"/>
      <c r="F30" s="24"/>
      <c r="G30" s="25"/>
      <c r="H30" s="24"/>
    </row>
    <row r="31" spans="2:8" x14ac:dyDescent="0.25">
      <c r="B31" s="209"/>
      <c r="C31" s="26">
        <v>501</v>
      </c>
      <c r="D31" s="27">
        <v>1000</v>
      </c>
      <c r="E31" s="28"/>
      <c r="F31" s="29"/>
      <c r="G31" s="30"/>
      <c r="H31" s="29"/>
    </row>
    <row r="32" spans="2:8" ht="15.75" thickBot="1" x14ac:dyDescent="0.3">
      <c r="B32" s="205"/>
      <c r="C32" s="16">
        <v>1001</v>
      </c>
      <c r="D32" s="17">
        <v>2000</v>
      </c>
      <c r="E32" s="18"/>
      <c r="F32" s="19"/>
      <c r="G32" s="20"/>
      <c r="H32" s="19"/>
    </row>
    <row r="33" spans="2:8" x14ac:dyDescent="0.25">
      <c r="B33" s="203" t="s">
        <v>16</v>
      </c>
      <c r="C33" s="6">
        <v>0</v>
      </c>
      <c r="D33" s="7">
        <v>50</v>
      </c>
      <c r="E33" s="8"/>
      <c r="F33" s="9"/>
      <c r="G33" s="10"/>
      <c r="H33" s="9"/>
    </row>
    <row r="34" spans="2:8" x14ac:dyDescent="0.25">
      <c r="B34" s="210"/>
      <c r="C34" s="11">
        <v>51</v>
      </c>
      <c r="D34" s="12">
        <v>1000</v>
      </c>
      <c r="E34" s="13"/>
      <c r="F34" s="14"/>
      <c r="G34" s="15"/>
      <c r="H34" s="14"/>
    </row>
    <row r="35" spans="2:8" ht="15.75" thickBot="1" x14ac:dyDescent="0.3">
      <c r="B35" s="205"/>
      <c r="C35" s="16">
        <v>1001</v>
      </c>
      <c r="D35" s="17">
        <v>20000</v>
      </c>
      <c r="E35" s="18"/>
      <c r="F35" s="19"/>
      <c r="G35" s="20"/>
      <c r="H35" s="19"/>
    </row>
    <row r="36" spans="2:8" x14ac:dyDescent="0.25">
      <c r="B36" s="203" t="s">
        <v>17</v>
      </c>
      <c r="C36" s="6">
        <v>0</v>
      </c>
      <c r="D36" s="7">
        <v>1000</v>
      </c>
      <c r="E36" s="8"/>
      <c r="F36" s="9"/>
      <c r="G36" s="10"/>
      <c r="H36" s="9"/>
    </row>
    <row r="37" spans="2:8" ht="15.75" thickBot="1" x14ac:dyDescent="0.3">
      <c r="B37" s="205"/>
      <c r="C37" s="16">
        <v>1001</v>
      </c>
      <c r="D37" s="17">
        <v>20000</v>
      </c>
      <c r="E37" s="18"/>
      <c r="F37" s="19"/>
      <c r="G37" s="20"/>
      <c r="H37" s="19"/>
    </row>
    <row r="38" spans="2:8" x14ac:dyDescent="0.25">
      <c r="B38" s="203" t="s">
        <v>18</v>
      </c>
      <c r="C38" s="6">
        <v>0</v>
      </c>
      <c r="D38" s="7">
        <v>50</v>
      </c>
      <c r="E38" s="8"/>
      <c r="F38" s="9"/>
      <c r="G38" s="10"/>
      <c r="H38" s="9"/>
    </row>
    <row r="39" spans="2:8" x14ac:dyDescent="0.25">
      <c r="B39" s="204"/>
      <c r="C39" s="11">
        <v>51</v>
      </c>
      <c r="D39" s="12">
        <v>100</v>
      </c>
      <c r="E39" s="13"/>
      <c r="F39" s="14"/>
      <c r="G39" s="15"/>
      <c r="H39" s="14"/>
    </row>
    <row r="40" spans="2:8" x14ac:dyDescent="0.25">
      <c r="B40" s="204"/>
      <c r="C40" s="11">
        <v>101</v>
      </c>
      <c r="D40" s="12">
        <v>150</v>
      </c>
      <c r="E40" s="13"/>
      <c r="F40" s="14"/>
      <c r="G40" s="15"/>
      <c r="H40" s="14"/>
    </row>
    <row r="41" spans="2:8" x14ac:dyDescent="0.25">
      <c r="B41" s="204"/>
      <c r="C41" s="11">
        <v>151</v>
      </c>
      <c r="D41" s="12">
        <v>250</v>
      </c>
      <c r="E41" s="13"/>
      <c r="F41" s="14"/>
      <c r="G41" s="15"/>
      <c r="H41" s="14"/>
    </row>
    <row r="42" spans="2:8" x14ac:dyDescent="0.25">
      <c r="B42" s="204"/>
      <c r="C42" s="11">
        <v>251</v>
      </c>
      <c r="D42" s="12">
        <v>500</v>
      </c>
      <c r="E42" s="13"/>
      <c r="F42" s="14"/>
      <c r="G42" s="15"/>
      <c r="H42" s="14"/>
    </row>
    <row r="43" spans="2:8" x14ac:dyDescent="0.25">
      <c r="B43" s="204"/>
      <c r="C43" s="11">
        <v>501</v>
      </c>
      <c r="D43" s="12">
        <v>1000</v>
      </c>
      <c r="E43" s="13"/>
      <c r="F43" s="14"/>
      <c r="G43" s="15"/>
      <c r="H43" s="14"/>
    </row>
    <row r="44" spans="2:8" ht="15.75" thickBot="1" x14ac:dyDescent="0.3">
      <c r="B44" s="205"/>
      <c r="C44" s="16">
        <v>1001</v>
      </c>
      <c r="D44" s="17">
        <v>2000</v>
      </c>
      <c r="E44" s="18"/>
      <c r="F44" s="19"/>
      <c r="G44" s="20"/>
      <c r="H44" s="19"/>
    </row>
    <row r="45" spans="2:8" ht="15.75" thickBot="1" x14ac:dyDescent="0.3">
      <c r="B45" s="1" t="s">
        <v>19</v>
      </c>
      <c r="C45" s="31">
        <v>50</v>
      </c>
      <c r="D45" s="32">
        <v>2000</v>
      </c>
      <c r="E45" s="33"/>
      <c r="F45" s="34"/>
      <c r="G45" s="35"/>
      <c r="H45" s="34"/>
    </row>
    <row r="46" spans="2:8" x14ac:dyDescent="0.25">
      <c r="B46" s="203" t="s">
        <v>20</v>
      </c>
      <c r="C46" s="6">
        <v>0</v>
      </c>
      <c r="D46" s="7">
        <v>50</v>
      </c>
      <c r="E46" s="8"/>
      <c r="F46" s="9"/>
      <c r="G46" s="10"/>
      <c r="H46" s="9"/>
    </row>
    <row r="47" spans="2:8" ht="15.75" thickBot="1" x14ac:dyDescent="0.3">
      <c r="B47" s="205"/>
      <c r="C47" s="16">
        <v>51</v>
      </c>
      <c r="D47" s="17">
        <v>20000</v>
      </c>
      <c r="E47" s="18"/>
      <c r="F47" s="19"/>
      <c r="G47" s="20"/>
      <c r="H47" s="19"/>
    </row>
    <row r="48" spans="2:8" x14ac:dyDescent="0.25">
      <c r="B48" s="211" t="s">
        <v>21</v>
      </c>
      <c r="C48" s="6">
        <v>0</v>
      </c>
      <c r="D48" s="7">
        <v>200</v>
      </c>
      <c r="E48" s="8"/>
      <c r="F48" s="9"/>
      <c r="G48" s="10"/>
      <c r="H48" s="9"/>
    </row>
    <row r="49" spans="2:19" ht="15.75" thickBot="1" x14ac:dyDescent="0.3">
      <c r="B49" s="208"/>
      <c r="C49" s="36">
        <v>201</v>
      </c>
      <c r="D49" s="37">
        <v>20000</v>
      </c>
      <c r="E49" s="38"/>
      <c r="F49" s="39"/>
      <c r="G49" s="40"/>
      <c r="H49" s="39"/>
    </row>
    <row r="50" spans="2:19" x14ac:dyDescent="0.25">
      <c r="B50" s="203" t="s">
        <v>22</v>
      </c>
      <c r="C50" s="6">
        <v>0</v>
      </c>
      <c r="D50" s="7">
        <v>50</v>
      </c>
      <c r="E50" s="8"/>
      <c r="F50" s="9"/>
      <c r="G50" s="10"/>
      <c r="H50" s="9"/>
    </row>
    <row r="51" spans="2:19" x14ac:dyDescent="0.25">
      <c r="B51" s="204"/>
      <c r="C51" s="11">
        <v>51</v>
      </c>
      <c r="D51" s="12">
        <v>100</v>
      </c>
      <c r="E51" s="13"/>
      <c r="F51" s="14"/>
      <c r="G51" s="15"/>
      <c r="H51" s="14"/>
    </row>
    <row r="52" spans="2:19" x14ac:dyDescent="0.25">
      <c r="B52" s="204"/>
      <c r="C52" s="11">
        <v>101</v>
      </c>
      <c r="D52" s="12">
        <v>150</v>
      </c>
      <c r="E52" s="13"/>
      <c r="F52" s="14"/>
      <c r="G52" s="15"/>
      <c r="H52" s="14"/>
    </row>
    <row r="53" spans="2:19" x14ac:dyDescent="0.25">
      <c r="B53" s="204"/>
      <c r="C53" s="11">
        <v>151</v>
      </c>
      <c r="D53" s="12">
        <v>250</v>
      </c>
      <c r="E53" s="13"/>
      <c r="F53" s="14"/>
      <c r="G53" s="15"/>
      <c r="H53" s="14"/>
    </row>
    <row r="54" spans="2:19" x14ac:dyDescent="0.25">
      <c r="B54" s="204"/>
      <c r="C54" s="11">
        <v>251</v>
      </c>
      <c r="D54" s="12">
        <v>500</v>
      </c>
      <c r="E54" s="13"/>
      <c r="F54" s="14"/>
      <c r="G54" s="15"/>
      <c r="H54" s="14"/>
    </row>
    <row r="55" spans="2:19" x14ac:dyDescent="0.25">
      <c r="B55" s="204"/>
      <c r="C55" s="11">
        <v>501</v>
      </c>
      <c r="D55" s="12">
        <v>1000</v>
      </c>
      <c r="E55" s="13"/>
      <c r="F55" s="14"/>
      <c r="G55" s="15"/>
      <c r="H55" s="14"/>
      <c r="K55" s="41"/>
      <c r="S55" s="42"/>
    </row>
    <row r="56" spans="2:19" x14ac:dyDescent="0.25">
      <c r="B56" s="204"/>
      <c r="C56" s="11">
        <v>1001</v>
      </c>
      <c r="D56" s="12">
        <v>2000</v>
      </c>
      <c r="E56" s="13"/>
      <c r="F56" s="14"/>
      <c r="G56" s="15"/>
      <c r="H56" s="14"/>
      <c r="K56" s="41"/>
      <c r="S56" s="42"/>
    </row>
    <row r="57" spans="2:19" ht="15.75" thickBot="1" x14ac:dyDescent="0.3">
      <c r="B57" s="205"/>
      <c r="C57" s="16">
        <v>2001</v>
      </c>
      <c r="D57" s="43">
        <v>20000</v>
      </c>
      <c r="E57" s="18"/>
      <c r="F57" s="19"/>
      <c r="G57" s="20"/>
      <c r="H57" s="19"/>
      <c r="K57" s="41"/>
      <c r="S57" s="42"/>
    </row>
    <row r="58" spans="2:19" x14ac:dyDescent="0.25">
      <c r="B58" s="203" t="s">
        <v>23</v>
      </c>
      <c r="C58" s="6">
        <v>0</v>
      </c>
      <c r="D58" s="7">
        <v>50</v>
      </c>
      <c r="E58" s="8"/>
      <c r="F58" s="9"/>
      <c r="G58" s="10"/>
      <c r="H58" s="9"/>
    </row>
    <row r="59" spans="2:19" x14ac:dyDescent="0.25">
      <c r="B59" s="204"/>
      <c r="C59" s="11">
        <v>51</v>
      </c>
      <c r="D59" s="12">
        <v>500</v>
      </c>
      <c r="E59" s="13"/>
      <c r="F59" s="14"/>
      <c r="G59" s="15"/>
      <c r="H59" s="14"/>
    </row>
    <row r="60" spans="2:19" ht="15.75" thickBot="1" x14ac:dyDescent="0.3">
      <c r="B60" s="205"/>
      <c r="C60" s="16">
        <v>501</v>
      </c>
      <c r="D60" s="17">
        <v>20000</v>
      </c>
      <c r="E60" s="18"/>
      <c r="F60" s="19"/>
      <c r="G60" s="20"/>
      <c r="H60" s="19"/>
    </row>
    <row r="61" spans="2:19" x14ac:dyDescent="0.25">
      <c r="B61" s="203" t="s">
        <v>24</v>
      </c>
      <c r="C61" s="6">
        <v>0</v>
      </c>
      <c r="D61" s="7">
        <v>50</v>
      </c>
      <c r="E61" s="8"/>
      <c r="F61" s="9"/>
      <c r="G61" s="10"/>
      <c r="H61" s="9"/>
    </row>
    <row r="62" spans="2:19" ht="15.75" thickBot="1" x14ac:dyDescent="0.3">
      <c r="B62" s="205"/>
      <c r="C62" s="16">
        <v>51</v>
      </c>
      <c r="D62" s="17">
        <v>20000</v>
      </c>
      <c r="E62" s="18"/>
      <c r="F62" s="19"/>
      <c r="G62" s="20"/>
      <c r="H62" s="19"/>
    </row>
    <row r="63" spans="2:19" x14ac:dyDescent="0.25">
      <c r="B63" s="203" t="s">
        <v>25</v>
      </c>
      <c r="C63" s="6">
        <v>0</v>
      </c>
      <c r="D63" s="7">
        <v>50</v>
      </c>
      <c r="E63" s="8"/>
      <c r="F63" s="9"/>
      <c r="G63" s="10"/>
      <c r="H63" s="9"/>
    </row>
    <row r="64" spans="2:19" ht="15.75" thickBot="1" x14ac:dyDescent="0.3">
      <c r="B64" s="205"/>
      <c r="C64" s="16">
        <v>51</v>
      </c>
      <c r="D64" s="17">
        <v>20000</v>
      </c>
      <c r="E64" s="18"/>
      <c r="F64" s="19"/>
      <c r="G64" s="20"/>
      <c r="H64" s="19"/>
    </row>
    <row r="65" spans="2:10" x14ac:dyDescent="0.25">
      <c r="B65" s="203" t="s">
        <v>26</v>
      </c>
      <c r="C65" s="6">
        <v>0</v>
      </c>
      <c r="D65" s="7">
        <v>50</v>
      </c>
      <c r="E65" s="8"/>
      <c r="F65" s="9"/>
      <c r="G65" s="10"/>
      <c r="H65" s="9"/>
      <c r="J65" s="44"/>
    </row>
    <row r="66" spans="2:10" ht="15.75" thickBot="1" x14ac:dyDescent="0.3">
      <c r="B66" s="205"/>
      <c r="C66" s="16">
        <v>51</v>
      </c>
      <c r="D66" s="17">
        <v>20000</v>
      </c>
      <c r="E66" s="18"/>
      <c r="F66" s="19"/>
      <c r="G66" s="20"/>
      <c r="H66" s="19"/>
    </row>
    <row r="67" spans="2:10" ht="15.75" thickBot="1" x14ac:dyDescent="0.3">
      <c r="B67" s="45"/>
      <c r="C67" s="206" t="s">
        <v>27</v>
      </c>
      <c r="D67" s="207"/>
      <c r="E67" s="46">
        <f>SUM(E9:E66)</f>
        <v>0</v>
      </c>
      <c r="F67" s="47">
        <f>SUM(F9:F66)</f>
        <v>0</v>
      </c>
      <c r="G67" s="48">
        <f>SUM(G9:G66)</f>
        <v>0</v>
      </c>
      <c r="H67" s="47">
        <f>SUM(H9:H66)</f>
        <v>0</v>
      </c>
    </row>
    <row r="68" spans="2:10" ht="15.75" thickBot="1" x14ac:dyDescent="0.3">
      <c r="B68" s="190" t="s">
        <v>28</v>
      </c>
      <c r="C68" s="191">
        <v>0</v>
      </c>
      <c r="D68" s="192">
        <v>20000</v>
      </c>
      <c r="E68" s="193" t="s">
        <v>29</v>
      </c>
      <c r="F68" s="194"/>
      <c r="G68" s="196" t="s">
        <v>29</v>
      </c>
      <c r="H68" s="194"/>
    </row>
    <row r="69" spans="2:10" ht="15.75" thickBot="1" x14ac:dyDescent="0.3">
      <c r="B69" s="45"/>
      <c r="C69" s="206" t="s">
        <v>30</v>
      </c>
      <c r="D69" s="207"/>
      <c r="E69" s="199">
        <f>SUM(E67+G67)</f>
        <v>0</v>
      </c>
      <c r="F69" s="200"/>
      <c r="G69" s="201">
        <f>SUM(F67+H67)</f>
        <v>0</v>
      </c>
      <c r="H69" s="202"/>
    </row>
  </sheetData>
  <mergeCells count="28">
    <mergeCell ref="B5:D5"/>
    <mergeCell ref="E5:F5"/>
    <mergeCell ref="G5:H5"/>
    <mergeCell ref="B6:H6"/>
    <mergeCell ref="B7:B8"/>
    <mergeCell ref="C7:D7"/>
    <mergeCell ref="E7:F7"/>
    <mergeCell ref="G7:H7"/>
    <mergeCell ref="B50:B57"/>
    <mergeCell ref="B9:B13"/>
    <mergeCell ref="B14:B16"/>
    <mergeCell ref="B17:B18"/>
    <mergeCell ref="B19:B23"/>
    <mergeCell ref="B24:B25"/>
    <mergeCell ref="B26:B32"/>
    <mergeCell ref="B33:B35"/>
    <mergeCell ref="B36:B37"/>
    <mergeCell ref="B38:B44"/>
    <mergeCell ref="B46:B47"/>
    <mergeCell ref="B48:B49"/>
    <mergeCell ref="E69:F69"/>
    <mergeCell ref="G69:H69"/>
    <mergeCell ref="B58:B60"/>
    <mergeCell ref="B61:B62"/>
    <mergeCell ref="B63:B64"/>
    <mergeCell ref="B65:B66"/>
    <mergeCell ref="C67:D67"/>
    <mergeCell ref="C69:D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82C7-1CED-42AC-99EC-1FED704616EF}">
  <sheetPr>
    <pageSetUpPr fitToPage="1"/>
  </sheetPr>
  <dimension ref="B5:S125"/>
  <sheetViews>
    <sheetView tabSelected="1" workbookViewId="0">
      <selection activeCell="E5" sqref="E5:F5"/>
    </sheetView>
  </sheetViews>
  <sheetFormatPr defaultColWidth="11.42578125" defaultRowHeight="15" x14ac:dyDescent="0.25"/>
  <cols>
    <col min="1" max="1" width="2.85546875" customWidth="1"/>
    <col min="2" max="2" width="20.7109375" customWidth="1"/>
    <col min="3" max="8" width="14.7109375" customWidth="1"/>
    <col min="257" max="257" width="2.85546875" customWidth="1"/>
    <col min="258" max="258" width="20.7109375" customWidth="1"/>
    <col min="259" max="264" width="14.7109375" customWidth="1"/>
    <col min="513" max="513" width="2.85546875" customWidth="1"/>
    <col min="514" max="514" width="20.7109375" customWidth="1"/>
    <col min="515" max="520" width="14.7109375" customWidth="1"/>
    <col min="769" max="769" width="2.85546875" customWidth="1"/>
    <col min="770" max="770" width="20.7109375" customWidth="1"/>
    <col min="771" max="776" width="14.7109375" customWidth="1"/>
    <col min="1025" max="1025" width="2.85546875" customWidth="1"/>
    <col min="1026" max="1026" width="20.7109375" customWidth="1"/>
    <col min="1027" max="1032" width="14.7109375" customWidth="1"/>
    <col min="1281" max="1281" width="2.85546875" customWidth="1"/>
    <col min="1282" max="1282" width="20.7109375" customWidth="1"/>
    <col min="1283" max="1288" width="14.7109375" customWidth="1"/>
    <col min="1537" max="1537" width="2.85546875" customWidth="1"/>
    <col min="1538" max="1538" width="20.7109375" customWidth="1"/>
    <col min="1539" max="1544" width="14.7109375" customWidth="1"/>
    <col min="1793" max="1793" width="2.85546875" customWidth="1"/>
    <col min="1794" max="1794" width="20.7109375" customWidth="1"/>
    <col min="1795" max="1800" width="14.7109375" customWidth="1"/>
    <col min="2049" max="2049" width="2.85546875" customWidth="1"/>
    <col min="2050" max="2050" width="20.7109375" customWidth="1"/>
    <col min="2051" max="2056" width="14.7109375" customWidth="1"/>
    <col min="2305" max="2305" width="2.85546875" customWidth="1"/>
    <col min="2306" max="2306" width="20.7109375" customWidth="1"/>
    <col min="2307" max="2312" width="14.7109375" customWidth="1"/>
    <col min="2561" max="2561" width="2.85546875" customWidth="1"/>
    <col min="2562" max="2562" width="20.7109375" customWidth="1"/>
    <col min="2563" max="2568" width="14.7109375" customWidth="1"/>
    <col min="2817" max="2817" width="2.85546875" customWidth="1"/>
    <col min="2818" max="2818" width="20.7109375" customWidth="1"/>
    <col min="2819" max="2824" width="14.7109375" customWidth="1"/>
    <col min="3073" max="3073" width="2.85546875" customWidth="1"/>
    <col min="3074" max="3074" width="20.7109375" customWidth="1"/>
    <col min="3075" max="3080" width="14.7109375" customWidth="1"/>
    <col min="3329" max="3329" width="2.85546875" customWidth="1"/>
    <col min="3330" max="3330" width="20.7109375" customWidth="1"/>
    <col min="3331" max="3336" width="14.7109375" customWidth="1"/>
    <col min="3585" max="3585" width="2.85546875" customWidth="1"/>
    <col min="3586" max="3586" width="20.7109375" customWidth="1"/>
    <col min="3587" max="3592" width="14.7109375" customWidth="1"/>
    <col min="3841" max="3841" width="2.85546875" customWidth="1"/>
    <col min="3842" max="3842" width="20.7109375" customWidth="1"/>
    <col min="3843" max="3848" width="14.7109375" customWidth="1"/>
    <col min="4097" max="4097" width="2.85546875" customWidth="1"/>
    <col min="4098" max="4098" width="20.7109375" customWidth="1"/>
    <col min="4099" max="4104" width="14.7109375" customWidth="1"/>
    <col min="4353" max="4353" width="2.85546875" customWidth="1"/>
    <col min="4354" max="4354" width="20.7109375" customWidth="1"/>
    <col min="4355" max="4360" width="14.7109375" customWidth="1"/>
    <col min="4609" max="4609" width="2.85546875" customWidth="1"/>
    <col min="4610" max="4610" width="20.7109375" customWidth="1"/>
    <col min="4611" max="4616" width="14.7109375" customWidth="1"/>
    <col min="4865" max="4865" width="2.85546875" customWidth="1"/>
    <col min="4866" max="4866" width="20.7109375" customWidth="1"/>
    <col min="4867" max="4872" width="14.7109375" customWidth="1"/>
    <col min="5121" max="5121" width="2.85546875" customWidth="1"/>
    <col min="5122" max="5122" width="20.7109375" customWidth="1"/>
    <col min="5123" max="5128" width="14.7109375" customWidth="1"/>
    <col min="5377" max="5377" width="2.85546875" customWidth="1"/>
    <col min="5378" max="5378" width="20.7109375" customWidth="1"/>
    <col min="5379" max="5384" width="14.7109375" customWidth="1"/>
    <col min="5633" max="5633" width="2.85546875" customWidth="1"/>
    <col min="5634" max="5634" width="20.7109375" customWidth="1"/>
    <col min="5635" max="5640" width="14.7109375" customWidth="1"/>
    <col min="5889" max="5889" width="2.85546875" customWidth="1"/>
    <col min="5890" max="5890" width="20.7109375" customWidth="1"/>
    <col min="5891" max="5896" width="14.7109375" customWidth="1"/>
    <col min="6145" max="6145" width="2.85546875" customWidth="1"/>
    <col min="6146" max="6146" width="20.7109375" customWidth="1"/>
    <col min="6147" max="6152" width="14.7109375" customWidth="1"/>
    <col min="6401" max="6401" width="2.85546875" customWidth="1"/>
    <col min="6402" max="6402" width="20.7109375" customWidth="1"/>
    <col min="6403" max="6408" width="14.7109375" customWidth="1"/>
    <col min="6657" max="6657" width="2.85546875" customWidth="1"/>
    <col min="6658" max="6658" width="20.7109375" customWidth="1"/>
    <col min="6659" max="6664" width="14.7109375" customWidth="1"/>
    <col min="6913" max="6913" width="2.85546875" customWidth="1"/>
    <col min="6914" max="6914" width="20.7109375" customWidth="1"/>
    <col min="6915" max="6920" width="14.7109375" customWidth="1"/>
    <col min="7169" max="7169" width="2.85546875" customWidth="1"/>
    <col min="7170" max="7170" width="20.7109375" customWidth="1"/>
    <col min="7171" max="7176" width="14.7109375" customWidth="1"/>
    <col min="7425" max="7425" width="2.85546875" customWidth="1"/>
    <col min="7426" max="7426" width="20.7109375" customWidth="1"/>
    <col min="7427" max="7432" width="14.7109375" customWidth="1"/>
    <col min="7681" max="7681" width="2.85546875" customWidth="1"/>
    <col min="7682" max="7682" width="20.7109375" customWidth="1"/>
    <col min="7683" max="7688" width="14.7109375" customWidth="1"/>
    <col min="7937" max="7937" width="2.85546875" customWidth="1"/>
    <col min="7938" max="7938" width="20.7109375" customWidth="1"/>
    <col min="7939" max="7944" width="14.7109375" customWidth="1"/>
    <col min="8193" max="8193" width="2.85546875" customWidth="1"/>
    <col min="8194" max="8194" width="20.7109375" customWidth="1"/>
    <col min="8195" max="8200" width="14.7109375" customWidth="1"/>
    <col min="8449" max="8449" width="2.85546875" customWidth="1"/>
    <col min="8450" max="8450" width="20.7109375" customWidth="1"/>
    <col min="8451" max="8456" width="14.7109375" customWidth="1"/>
    <col min="8705" max="8705" width="2.85546875" customWidth="1"/>
    <col min="8706" max="8706" width="20.7109375" customWidth="1"/>
    <col min="8707" max="8712" width="14.7109375" customWidth="1"/>
    <col min="8961" max="8961" width="2.85546875" customWidth="1"/>
    <col min="8962" max="8962" width="20.7109375" customWidth="1"/>
    <col min="8963" max="8968" width="14.7109375" customWidth="1"/>
    <col min="9217" max="9217" width="2.85546875" customWidth="1"/>
    <col min="9218" max="9218" width="20.7109375" customWidth="1"/>
    <col min="9219" max="9224" width="14.7109375" customWidth="1"/>
    <col min="9473" max="9473" width="2.85546875" customWidth="1"/>
    <col min="9474" max="9474" width="20.7109375" customWidth="1"/>
    <col min="9475" max="9480" width="14.7109375" customWidth="1"/>
    <col min="9729" max="9729" width="2.85546875" customWidth="1"/>
    <col min="9730" max="9730" width="20.7109375" customWidth="1"/>
    <col min="9731" max="9736" width="14.7109375" customWidth="1"/>
    <col min="9985" max="9985" width="2.85546875" customWidth="1"/>
    <col min="9986" max="9986" width="20.7109375" customWidth="1"/>
    <col min="9987" max="9992" width="14.7109375" customWidth="1"/>
    <col min="10241" max="10241" width="2.85546875" customWidth="1"/>
    <col min="10242" max="10242" width="20.7109375" customWidth="1"/>
    <col min="10243" max="10248" width="14.7109375" customWidth="1"/>
    <col min="10497" max="10497" width="2.85546875" customWidth="1"/>
    <col min="10498" max="10498" width="20.7109375" customWidth="1"/>
    <col min="10499" max="10504" width="14.7109375" customWidth="1"/>
    <col min="10753" max="10753" width="2.85546875" customWidth="1"/>
    <col min="10754" max="10754" width="20.7109375" customWidth="1"/>
    <col min="10755" max="10760" width="14.7109375" customWidth="1"/>
    <col min="11009" max="11009" width="2.85546875" customWidth="1"/>
    <col min="11010" max="11010" width="20.7109375" customWidth="1"/>
    <col min="11011" max="11016" width="14.7109375" customWidth="1"/>
    <col min="11265" max="11265" width="2.85546875" customWidth="1"/>
    <col min="11266" max="11266" width="20.7109375" customWidth="1"/>
    <col min="11267" max="11272" width="14.7109375" customWidth="1"/>
    <col min="11521" max="11521" width="2.85546875" customWidth="1"/>
    <col min="11522" max="11522" width="20.7109375" customWidth="1"/>
    <col min="11523" max="11528" width="14.7109375" customWidth="1"/>
    <col min="11777" max="11777" width="2.85546875" customWidth="1"/>
    <col min="11778" max="11778" width="20.7109375" customWidth="1"/>
    <col min="11779" max="11784" width="14.7109375" customWidth="1"/>
    <col min="12033" max="12033" width="2.85546875" customWidth="1"/>
    <col min="12034" max="12034" width="20.7109375" customWidth="1"/>
    <col min="12035" max="12040" width="14.7109375" customWidth="1"/>
    <col min="12289" max="12289" width="2.85546875" customWidth="1"/>
    <col min="12290" max="12290" width="20.7109375" customWidth="1"/>
    <col min="12291" max="12296" width="14.7109375" customWidth="1"/>
    <col min="12545" max="12545" width="2.85546875" customWidth="1"/>
    <col min="12546" max="12546" width="20.7109375" customWidth="1"/>
    <col min="12547" max="12552" width="14.7109375" customWidth="1"/>
    <col min="12801" max="12801" width="2.85546875" customWidth="1"/>
    <col min="12802" max="12802" width="20.7109375" customWidth="1"/>
    <col min="12803" max="12808" width="14.7109375" customWidth="1"/>
    <col min="13057" max="13057" width="2.85546875" customWidth="1"/>
    <col min="13058" max="13058" width="20.7109375" customWidth="1"/>
    <col min="13059" max="13064" width="14.7109375" customWidth="1"/>
    <col min="13313" max="13313" width="2.85546875" customWidth="1"/>
    <col min="13314" max="13314" width="20.7109375" customWidth="1"/>
    <col min="13315" max="13320" width="14.7109375" customWidth="1"/>
    <col min="13569" max="13569" width="2.85546875" customWidth="1"/>
    <col min="13570" max="13570" width="20.7109375" customWidth="1"/>
    <col min="13571" max="13576" width="14.7109375" customWidth="1"/>
    <col min="13825" max="13825" width="2.85546875" customWidth="1"/>
    <col min="13826" max="13826" width="20.7109375" customWidth="1"/>
    <col min="13827" max="13832" width="14.7109375" customWidth="1"/>
    <col min="14081" max="14081" width="2.85546875" customWidth="1"/>
    <col min="14082" max="14082" width="20.7109375" customWidth="1"/>
    <col min="14083" max="14088" width="14.7109375" customWidth="1"/>
    <col min="14337" max="14337" width="2.85546875" customWidth="1"/>
    <col min="14338" max="14338" width="20.7109375" customWidth="1"/>
    <col min="14339" max="14344" width="14.7109375" customWidth="1"/>
    <col min="14593" max="14593" width="2.85546875" customWidth="1"/>
    <col min="14594" max="14594" width="20.7109375" customWidth="1"/>
    <col min="14595" max="14600" width="14.7109375" customWidth="1"/>
    <col min="14849" max="14849" width="2.85546875" customWidth="1"/>
    <col min="14850" max="14850" width="20.7109375" customWidth="1"/>
    <col min="14851" max="14856" width="14.7109375" customWidth="1"/>
    <col min="15105" max="15105" width="2.85546875" customWidth="1"/>
    <col min="15106" max="15106" width="20.7109375" customWidth="1"/>
    <col min="15107" max="15112" width="14.7109375" customWidth="1"/>
    <col min="15361" max="15361" width="2.85546875" customWidth="1"/>
    <col min="15362" max="15362" width="20.7109375" customWidth="1"/>
    <col min="15363" max="15368" width="14.7109375" customWidth="1"/>
    <col min="15617" max="15617" width="2.85546875" customWidth="1"/>
    <col min="15618" max="15618" width="20.7109375" customWidth="1"/>
    <col min="15619" max="15624" width="14.7109375" customWidth="1"/>
    <col min="15873" max="15873" width="2.85546875" customWidth="1"/>
    <col min="15874" max="15874" width="20.7109375" customWidth="1"/>
    <col min="15875" max="15880" width="14.7109375" customWidth="1"/>
    <col min="16129" max="16129" width="2.85546875" customWidth="1"/>
    <col min="16130" max="16130" width="20.7109375" customWidth="1"/>
    <col min="16131" max="16136" width="14.7109375" customWidth="1"/>
  </cols>
  <sheetData>
    <row r="5" spans="2:8" ht="15.75" thickBot="1" x14ac:dyDescent="0.3">
      <c r="B5" s="212" t="s">
        <v>182</v>
      </c>
      <c r="C5" s="212"/>
      <c r="D5" s="212"/>
      <c r="E5" s="212" t="s">
        <v>184</v>
      </c>
      <c r="F5" s="212"/>
      <c r="G5" s="212" t="s">
        <v>185</v>
      </c>
      <c r="H5" s="212"/>
    </row>
    <row r="6" spans="2:8" ht="15.75" thickBot="1" x14ac:dyDescent="0.3">
      <c r="B6" s="213" t="s">
        <v>31</v>
      </c>
      <c r="C6" s="214"/>
      <c r="D6" s="214"/>
      <c r="E6" s="214"/>
      <c r="F6" s="214"/>
      <c r="G6" s="214"/>
      <c r="H6" s="221"/>
    </row>
    <row r="7" spans="2:8" ht="15.75" thickBot="1" x14ac:dyDescent="0.3">
      <c r="B7" s="215" t="s">
        <v>3</v>
      </c>
      <c r="C7" s="217" t="s">
        <v>4</v>
      </c>
      <c r="D7" s="217"/>
      <c r="E7" s="218" t="s">
        <v>5</v>
      </c>
      <c r="F7" s="219"/>
      <c r="G7" s="220" t="s">
        <v>110</v>
      </c>
      <c r="H7" s="221"/>
    </row>
    <row r="8" spans="2:8" ht="30.75" thickBot="1" x14ac:dyDescent="0.3">
      <c r="B8" s="216"/>
      <c r="C8" s="1" t="s">
        <v>6</v>
      </c>
      <c r="D8" s="2" t="s">
        <v>7</v>
      </c>
      <c r="E8" s="3" t="s">
        <v>32</v>
      </c>
      <c r="F8" s="4" t="s">
        <v>9</v>
      </c>
      <c r="G8" s="4" t="s">
        <v>33</v>
      </c>
      <c r="H8" s="49" t="s">
        <v>9</v>
      </c>
    </row>
    <row r="9" spans="2:8" x14ac:dyDescent="0.25">
      <c r="B9" s="231" t="s">
        <v>34</v>
      </c>
      <c r="C9" s="50">
        <v>0</v>
      </c>
      <c r="D9" s="51">
        <v>100</v>
      </c>
      <c r="E9" s="52"/>
      <c r="F9" s="53"/>
      <c r="G9" s="54"/>
      <c r="H9" s="55"/>
    </row>
    <row r="10" spans="2:8" ht="15.75" thickBot="1" x14ac:dyDescent="0.3">
      <c r="B10" s="232"/>
      <c r="C10" s="56">
        <v>101</v>
      </c>
      <c r="D10" s="57">
        <v>2000</v>
      </c>
      <c r="E10" s="58"/>
      <c r="F10" s="59"/>
      <c r="G10" s="60"/>
      <c r="H10" s="61"/>
    </row>
    <row r="11" spans="2:8" x14ac:dyDescent="0.25">
      <c r="B11" s="233" t="s">
        <v>35</v>
      </c>
      <c r="C11" s="62">
        <v>0</v>
      </c>
      <c r="D11" s="63">
        <v>60</v>
      </c>
      <c r="E11" s="52"/>
      <c r="F11" s="53"/>
      <c r="G11" s="54"/>
      <c r="H11" s="55"/>
    </row>
    <row r="12" spans="2:8" x14ac:dyDescent="0.25">
      <c r="B12" s="234"/>
      <c r="C12" s="64">
        <v>61</v>
      </c>
      <c r="D12" s="65">
        <v>250</v>
      </c>
      <c r="E12" s="66"/>
      <c r="F12" s="67"/>
      <c r="G12" s="68"/>
      <c r="H12" s="69"/>
    </row>
    <row r="13" spans="2:8" x14ac:dyDescent="0.25">
      <c r="B13" s="235"/>
      <c r="C13" s="70">
        <v>251</v>
      </c>
      <c r="D13" s="71">
        <v>1000</v>
      </c>
      <c r="E13" s="58"/>
      <c r="F13" s="59"/>
      <c r="G13" s="60"/>
      <c r="H13" s="61"/>
    </row>
    <row r="14" spans="2:8" ht="15.75" thickBot="1" x14ac:dyDescent="0.3">
      <c r="B14" s="236"/>
      <c r="C14" s="72">
        <v>1001</v>
      </c>
      <c r="D14" s="73">
        <v>2000</v>
      </c>
      <c r="E14" s="74"/>
      <c r="F14" s="75"/>
      <c r="G14" s="76"/>
      <c r="H14" s="77"/>
    </row>
    <row r="15" spans="2:8" x14ac:dyDescent="0.25">
      <c r="B15" s="78"/>
      <c r="C15" s="62">
        <v>0</v>
      </c>
      <c r="D15" s="79">
        <v>50</v>
      </c>
      <c r="E15" s="52"/>
      <c r="F15" s="53"/>
      <c r="G15" s="54"/>
      <c r="H15" s="55"/>
    </row>
    <row r="16" spans="2:8" x14ac:dyDescent="0.25">
      <c r="B16" s="80"/>
      <c r="C16" s="64">
        <v>51</v>
      </c>
      <c r="D16" s="81">
        <v>100</v>
      </c>
      <c r="E16" s="66"/>
      <c r="F16" s="67"/>
      <c r="G16" s="68"/>
      <c r="H16" s="69"/>
    </row>
    <row r="17" spans="2:8" x14ac:dyDescent="0.25">
      <c r="B17" s="80" t="s">
        <v>36</v>
      </c>
      <c r="C17" s="64">
        <v>101</v>
      </c>
      <c r="D17" s="81">
        <v>250</v>
      </c>
      <c r="E17" s="66"/>
      <c r="F17" s="67"/>
      <c r="G17" s="68"/>
      <c r="H17" s="69"/>
    </row>
    <row r="18" spans="2:8" ht="15.75" thickBot="1" x14ac:dyDescent="0.3">
      <c r="B18" s="82"/>
      <c r="C18" s="72">
        <v>251</v>
      </c>
      <c r="D18" s="83">
        <v>500</v>
      </c>
      <c r="E18" s="74"/>
      <c r="F18" s="75"/>
      <c r="G18" s="76"/>
      <c r="H18" s="77"/>
    </row>
    <row r="19" spans="2:8" x14ac:dyDescent="0.25">
      <c r="B19" s="229" t="s">
        <v>37</v>
      </c>
      <c r="C19" s="84">
        <v>0</v>
      </c>
      <c r="D19" s="85">
        <v>50</v>
      </c>
      <c r="E19" s="86"/>
      <c r="F19" s="87"/>
      <c r="G19" s="88"/>
      <c r="H19" s="89"/>
    </row>
    <row r="20" spans="2:8" x14ac:dyDescent="0.25">
      <c r="B20" s="229"/>
      <c r="C20" s="64">
        <v>51</v>
      </c>
      <c r="D20" s="65">
        <v>100</v>
      </c>
      <c r="E20" s="90"/>
      <c r="F20" s="91"/>
      <c r="G20" s="68"/>
      <c r="H20" s="89"/>
    </row>
    <row r="21" spans="2:8" x14ac:dyDescent="0.25">
      <c r="B21" s="229"/>
      <c r="C21" s="64">
        <v>101</v>
      </c>
      <c r="D21" s="65">
        <v>200</v>
      </c>
      <c r="E21" s="90"/>
      <c r="F21" s="91"/>
      <c r="G21" s="68"/>
      <c r="H21" s="89"/>
    </row>
    <row r="22" spans="2:8" x14ac:dyDescent="0.25">
      <c r="B22" s="229"/>
      <c r="C22" s="64">
        <v>201</v>
      </c>
      <c r="D22" s="65">
        <v>300</v>
      </c>
      <c r="E22" s="90"/>
      <c r="F22" s="91"/>
      <c r="G22" s="68"/>
      <c r="H22" s="89"/>
    </row>
    <row r="23" spans="2:8" x14ac:dyDescent="0.25">
      <c r="B23" s="229"/>
      <c r="C23" s="64">
        <v>301</v>
      </c>
      <c r="D23" s="65">
        <v>400</v>
      </c>
      <c r="E23" s="90"/>
      <c r="F23" s="91"/>
      <c r="G23" s="68"/>
      <c r="H23" s="89"/>
    </row>
    <row r="24" spans="2:8" x14ac:dyDescent="0.25">
      <c r="B24" s="229"/>
      <c r="C24" s="64">
        <v>401</v>
      </c>
      <c r="D24" s="65">
        <v>500</v>
      </c>
      <c r="E24" s="90"/>
      <c r="F24" s="91"/>
      <c r="G24" s="68"/>
      <c r="H24" s="89"/>
    </row>
    <row r="25" spans="2:8" x14ac:dyDescent="0.25">
      <c r="B25" s="229"/>
      <c r="C25" s="64">
        <v>501</v>
      </c>
      <c r="D25" s="65">
        <v>600</v>
      </c>
      <c r="E25" s="90"/>
      <c r="F25" s="91"/>
      <c r="G25" s="68"/>
      <c r="H25" s="89"/>
    </row>
    <row r="26" spans="2:8" x14ac:dyDescent="0.25">
      <c r="B26" s="229"/>
      <c r="C26" s="64">
        <v>601</v>
      </c>
      <c r="D26" s="65">
        <v>700</v>
      </c>
      <c r="E26" s="90"/>
      <c r="F26" s="91"/>
      <c r="G26" s="68"/>
      <c r="H26" s="89"/>
    </row>
    <row r="27" spans="2:8" x14ac:dyDescent="0.25">
      <c r="B27" s="229"/>
      <c r="C27" s="64">
        <v>701</v>
      </c>
      <c r="D27" s="65">
        <v>800</v>
      </c>
      <c r="E27" s="90"/>
      <c r="F27" s="91"/>
      <c r="G27" s="68"/>
      <c r="H27" s="89"/>
    </row>
    <row r="28" spans="2:8" x14ac:dyDescent="0.25">
      <c r="B28" s="229"/>
      <c r="C28" s="64">
        <v>801</v>
      </c>
      <c r="D28" s="65">
        <v>900</v>
      </c>
      <c r="E28" s="90"/>
      <c r="F28" s="91"/>
      <c r="G28" s="68"/>
      <c r="H28" s="89"/>
    </row>
    <row r="29" spans="2:8" x14ac:dyDescent="0.25">
      <c r="B29" s="229"/>
      <c r="C29" s="64">
        <v>901</v>
      </c>
      <c r="D29" s="65">
        <v>1000</v>
      </c>
      <c r="E29" s="90"/>
      <c r="F29" s="91"/>
      <c r="G29" s="68"/>
      <c r="H29" s="89"/>
    </row>
    <row r="30" spans="2:8" x14ac:dyDescent="0.25">
      <c r="B30" s="229"/>
      <c r="C30" s="64">
        <v>1001</v>
      </c>
      <c r="D30" s="65">
        <v>1100</v>
      </c>
      <c r="E30" s="90"/>
      <c r="F30" s="91"/>
      <c r="G30" s="68"/>
      <c r="H30" s="89"/>
    </row>
    <row r="31" spans="2:8" x14ac:dyDescent="0.25">
      <c r="B31" s="229"/>
      <c r="C31" s="64">
        <v>1101</v>
      </c>
      <c r="D31" s="65">
        <v>1200</v>
      </c>
      <c r="E31" s="90"/>
      <c r="F31" s="91"/>
      <c r="G31" s="68"/>
      <c r="H31" s="89"/>
    </row>
    <row r="32" spans="2:8" x14ac:dyDescent="0.25">
      <c r="B32" s="229"/>
      <c r="C32" s="64">
        <v>1201</v>
      </c>
      <c r="D32" s="65">
        <v>1300</v>
      </c>
      <c r="E32" s="90"/>
      <c r="F32" s="91"/>
      <c r="G32" s="68"/>
      <c r="H32" s="89"/>
    </row>
    <row r="33" spans="2:19" x14ac:dyDescent="0.25">
      <c r="B33" s="229"/>
      <c r="C33" s="64">
        <v>1301</v>
      </c>
      <c r="D33" s="65">
        <v>1400</v>
      </c>
      <c r="E33" s="90"/>
      <c r="F33" s="91"/>
      <c r="G33" s="68"/>
      <c r="H33" s="89"/>
    </row>
    <row r="34" spans="2:19" x14ac:dyDescent="0.25">
      <c r="B34" s="229"/>
      <c r="C34" s="64">
        <v>1401</v>
      </c>
      <c r="D34" s="65">
        <v>1500</v>
      </c>
      <c r="E34" s="90"/>
      <c r="F34" s="91"/>
      <c r="G34" s="68"/>
      <c r="H34" s="89"/>
    </row>
    <row r="35" spans="2:19" x14ac:dyDescent="0.25">
      <c r="B35" s="229"/>
      <c r="C35" s="64">
        <v>1501</v>
      </c>
      <c r="D35" s="65">
        <v>1600</v>
      </c>
      <c r="E35" s="90"/>
      <c r="F35" s="91"/>
      <c r="G35" s="68"/>
      <c r="H35" s="89"/>
    </row>
    <row r="36" spans="2:19" x14ac:dyDescent="0.25">
      <c r="B36" s="229"/>
      <c r="C36" s="64">
        <v>1601</v>
      </c>
      <c r="D36" s="65">
        <v>1700</v>
      </c>
      <c r="E36" s="90"/>
      <c r="F36" s="91"/>
      <c r="G36" s="68"/>
      <c r="H36" s="89"/>
    </row>
    <row r="37" spans="2:19" x14ac:dyDescent="0.25">
      <c r="B37" s="229"/>
      <c r="C37" s="64">
        <v>1701</v>
      </c>
      <c r="D37" s="65">
        <v>1800</v>
      </c>
      <c r="E37" s="90"/>
      <c r="F37" s="91"/>
      <c r="G37" s="68"/>
      <c r="H37" s="89"/>
    </row>
    <row r="38" spans="2:19" x14ac:dyDescent="0.25">
      <c r="B38" s="229"/>
      <c r="C38" s="64">
        <v>1801</v>
      </c>
      <c r="D38" s="65">
        <v>1900</v>
      </c>
      <c r="E38" s="90"/>
      <c r="F38" s="91"/>
      <c r="G38" s="68"/>
      <c r="H38" s="89"/>
    </row>
    <row r="39" spans="2:19" ht="15.75" thickBot="1" x14ac:dyDescent="0.3">
      <c r="B39" s="230"/>
      <c r="C39" s="72">
        <v>1901</v>
      </c>
      <c r="D39" s="73">
        <v>2000</v>
      </c>
      <c r="E39" s="92"/>
      <c r="F39" s="93"/>
      <c r="G39" s="76"/>
      <c r="H39" s="94"/>
    </row>
    <row r="40" spans="2:19" ht="15.75" thickBot="1" x14ac:dyDescent="0.3">
      <c r="B40" s="95" t="s">
        <v>38</v>
      </c>
      <c r="C40" s="96">
        <v>50</v>
      </c>
      <c r="D40" s="97">
        <v>2000</v>
      </c>
      <c r="E40" s="98"/>
      <c r="F40" s="99"/>
      <c r="G40" s="100"/>
      <c r="H40" s="101"/>
    </row>
    <row r="41" spans="2:19" ht="15.75" thickBot="1" x14ac:dyDescent="0.3">
      <c r="B41" s="95" t="s">
        <v>39</v>
      </c>
      <c r="C41" s="96">
        <v>50</v>
      </c>
      <c r="D41" s="97">
        <v>2000</v>
      </c>
      <c r="E41" s="98"/>
      <c r="F41" s="99"/>
      <c r="G41" s="100"/>
      <c r="H41" s="101"/>
    </row>
    <row r="42" spans="2:19" ht="15.75" thickBot="1" x14ac:dyDescent="0.3">
      <c r="B42" s="95" t="s">
        <v>40</v>
      </c>
      <c r="C42" s="96">
        <v>50</v>
      </c>
      <c r="D42" s="97">
        <v>2000</v>
      </c>
      <c r="E42" s="98"/>
      <c r="F42" s="99"/>
      <c r="G42" s="100"/>
      <c r="H42" s="101"/>
    </row>
    <row r="43" spans="2:19" ht="15.75" thickBot="1" x14ac:dyDescent="0.3">
      <c r="B43" s="95" t="s">
        <v>41</v>
      </c>
      <c r="C43" s="96">
        <v>50</v>
      </c>
      <c r="D43" s="97">
        <v>2000</v>
      </c>
      <c r="E43" s="98"/>
      <c r="F43" s="99"/>
      <c r="G43" s="100"/>
      <c r="H43" s="101"/>
      <c r="K43" s="41"/>
      <c r="S43" s="42"/>
    </row>
    <row r="44" spans="2:19" x14ac:dyDescent="0.25">
      <c r="B44" s="228" t="s">
        <v>42</v>
      </c>
      <c r="C44" s="62">
        <v>0</v>
      </c>
      <c r="D44" s="79">
        <v>199</v>
      </c>
      <c r="E44" s="52"/>
      <c r="F44" s="53"/>
      <c r="G44" s="54"/>
      <c r="H44" s="55"/>
      <c r="K44" s="41"/>
      <c r="S44" s="42"/>
    </row>
    <row r="45" spans="2:19" ht="15.75" thickBot="1" x14ac:dyDescent="0.3">
      <c r="B45" s="230"/>
      <c r="C45" s="102">
        <v>200</v>
      </c>
      <c r="D45" s="103">
        <v>2000</v>
      </c>
      <c r="E45" s="104"/>
      <c r="F45" s="105"/>
      <c r="G45" s="106"/>
      <c r="H45" s="94"/>
      <c r="K45" s="41"/>
      <c r="S45" s="42"/>
    </row>
    <row r="46" spans="2:19" ht="15.75" thickBot="1" x14ac:dyDescent="0.3">
      <c r="B46" s="95" t="s">
        <v>43</v>
      </c>
      <c r="C46" s="96">
        <v>50</v>
      </c>
      <c r="D46" s="97">
        <v>2000</v>
      </c>
      <c r="E46" s="119"/>
      <c r="F46" s="120"/>
      <c r="G46" s="117"/>
      <c r="H46" s="118"/>
    </row>
    <row r="47" spans="2:19" x14ac:dyDescent="0.25">
      <c r="B47" s="228" t="s">
        <v>44</v>
      </c>
      <c r="C47" s="62">
        <v>0</v>
      </c>
      <c r="D47" s="63">
        <v>50</v>
      </c>
      <c r="E47" s="122"/>
      <c r="F47" s="122"/>
      <c r="G47" s="125"/>
      <c r="H47" s="125"/>
    </row>
    <row r="48" spans="2:19" x14ac:dyDescent="0.25">
      <c r="B48" s="229"/>
      <c r="C48" s="64">
        <v>51</v>
      </c>
      <c r="D48" s="65">
        <v>100</v>
      </c>
      <c r="E48" s="123"/>
      <c r="F48" s="123"/>
      <c r="G48" s="126"/>
      <c r="H48" s="126"/>
    </row>
    <row r="49" spans="2:8" x14ac:dyDescent="0.25">
      <c r="B49" s="229"/>
      <c r="C49" s="64">
        <v>101</v>
      </c>
      <c r="D49" s="65">
        <v>500</v>
      </c>
      <c r="E49" s="123"/>
      <c r="F49" s="123"/>
      <c r="G49" s="126"/>
      <c r="H49" s="126"/>
    </row>
    <row r="50" spans="2:8" ht="15.75" thickBot="1" x14ac:dyDescent="0.3">
      <c r="B50" s="230"/>
      <c r="C50" s="72">
        <v>501</v>
      </c>
      <c r="D50" s="73">
        <v>2000</v>
      </c>
      <c r="E50" s="124"/>
      <c r="F50" s="124"/>
      <c r="G50" s="127"/>
      <c r="H50" s="127"/>
    </row>
    <row r="51" spans="2:8" x14ac:dyDescent="0.25">
      <c r="B51" s="228" t="s">
        <v>45</v>
      </c>
      <c r="C51" s="62">
        <v>0</v>
      </c>
      <c r="D51" s="63">
        <v>20</v>
      </c>
      <c r="E51" s="121"/>
      <c r="F51" s="87"/>
      <c r="G51" s="88"/>
      <c r="H51" s="89"/>
    </row>
    <row r="52" spans="2:8" x14ac:dyDescent="0.25">
      <c r="B52" s="229"/>
      <c r="C52" s="64">
        <v>21</v>
      </c>
      <c r="D52" s="65">
        <v>50</v>
      </c>
      <c r="E52" s="66"/>
      <c r="F52" s="91"/>
      <c r="G52" s="68"/>
      <c r="H52" s="69"/>
    </row>
    <row r="53" spans="2:8" x14ac:dyDescent="0.25">
      <c r="B53" s="229"/>
      <c r="C53" s="64">
        <v>51</v>
      </c>
      <c r="D53" s="65">
        <v>100</v>
      </c>
      <c r="E53" s="66"/>
      <c r="F53" s="91"/>
      <c r="G53" s="68"/>
      <c r="H53" s="69"/>
    </row>
    <row r="54" spans="2:8" x14ac:dyDescent="0.25">
      <c r="B54" s="229"/>
      <c r="C54" s="64">
        <v>101</v>
      </c>
      <c r="D54" s="65">
        <v>250</v>
      </c>
      <c r="E54" s="66"/>
      <c r="F54" s="91"/>
      <c r="G54" s="68"/>
      <c r="H54" s="69"/>
    </row>
    <row r="55" spans="2:8" x14ac:dyDescent="0.25">
      <c r="B55" s="229"/>
      <c r="C55" s="64">
        <v>251</v>
      </c>
      <c r="D55" s="65">
        <v>500</v>
      </c>
      <c r="E55" s="66"/>
      <c r="F55" s="91"/>
      <c r="G55" s="68"/>
      <c r="H55" s="69"/>
    </row>
    <row r="56" spans="2:8" x14ac:dyDescent="0.25">
      <c r="B56" s="229"/>
      <c r="C56" s="64">
        <v>501</v>
      </c>
      <c r="D56" s="65">
        <v>1000</v>
      </c>
      <c r="E56" s="66"/>
      <c r="F56" s="91"/>
      <c r="G56" s="68"/>
      <c r="H56" s="69"/>
    </row>
    <row r="57" spans="2:8" ht="15.75" thickBot="1" x14ac:dyDescent="0.3">
      <c r="B57" s="230"/>
      <c r="C57" s="72">
        <v>1001</v>
      </c>
      <c r="D57" s="73">
        <v>2000</v>
      </c>
      <c r="E57" s="74"/>
      <c r="F57" s="93"/>
      <c r="G57" s="76"/>
      <c r="H57" s="77"/>
    </row>
    <row r="58" spans="2:8" x14ac:dyDescent="0.25">
      <c r="B58" s="228" t="s">
        <v>46</v>
      </c>
      <c r="C58" s="62">
        <v>0</v>
      </c>
      <c r="D58" s="63">
        <v>20</v>
      </c>
      <c r="E58" s="52"/>
      <c r="F58" s="107"/>
      <c r="G58" s="54"/>
      <c r="H58" s="55"/>
    </row>
    <row r="59" spans="2:8" x14ac:dyDescent="0.25">
      <c r="B59" s="229"/>
      <c r="C59" s="64">
        <v>21</v>
      </c>
      <c r="D59" s="65">
        <v>50</v>
      </c>
      <c r="E59" s="66"/>
      <c r="F59" s="91"/>
      <c r="G59" s="68"/>
      <c r="H59" s="69"/>
    </row>
    <row r="60" spans="2:8" x14ac:dyDescent="0.25">
      <c r="B60" s="229"/>
      <c r="C60" s="64">
        <v>51</v>
      </c>
      <c r="D60" s="65">
        <v>100</v>
      </c>
      <c r="E60" s="66"/>
      <c r="F60" s="91"/>
      <c r="G60" s="68"/>
      <c r="H60" s="69"/>
    </row>
    <row r="61" spans="2:8" x14ac:dyDescent="0.25">
      <c r="B61" s="229"/>
      <c r="C61" s="64">
        <v>101</v>
      </c>
      <c r="D61" s="65">
        <v>250</v>
      </c>
      <c r="E61" s="66"/>
      <c r="F61" s="91"/>
      <c r="G61" s="68"/>
      <c r="H61" s="69"/>
    </row>
    <row r="62" spans="2:8" x14ac:dyDescent="0.25">
      <c r="B62" s="229"/>
      <c r="C62" s="64">
        <v>251</v>
      </c>
      <c r="D62" s="65">
        <v>500</v>
      </c>
      <c r="E62" s="66"/>
      <c r="F62" s="91"/>
      <c r="G62" s="68"/>
      <c r="H62" s="69"/>
    </row>
    <row r="63" spans="2:8" x14ac:dyDescent="0.25">
      <c r="B63" s="229"/>
      <c r="C63" s="64">
        <v>501</v>
      </c>
      <c r="D63" s="65">
        <v>1000</v>
      </c>
      <c r="E63" s="66"/>
      <c r="F63" s="91"/>
      <c r="G63" s="68"/>
      <c r="H63" s="69"/>
    </row>
    <row r="64" spans="2:8" ht="15.75" thickBot="1" x14ac:dyDescent="0.3">
      <c r="B64" s="230"/>
      <c r="C64" s="72">
        <v>1001</v>
      </c>
      <c r="D64" s="73">
        <v>2000</v>
      </c>
      <c r="E64" s="74"/>
      <c r="F64" s="93"/>
      <c r="G64" s="76"/>
      <c r="H64" s="77"/>
    </row>
    <row r="65" spans="2:8" x14ac:dyDescent="0.25">
      <c r="B65" s="233" t="s">
        <v>47</v>
      </c>
      <c r="C65" s="62">
        <v>0</v>
      </c>
      <c r="D65" s="63">
        <v>150</v>
      </c>
      <c r="E65" s="52"/>
      <c r="F65" s="53"/>
      <c r="G65" s="54"/>
      <c r="H65" s="55"/>
    </row>
    <row r="66" spans="2:8" x14ac:dyDescent="0.25">
      <c r="B66" s="234"/>
      <c r="C66" s="64">
        <v>151</v>
      </c>
      <c r="D66" s="65">
        <v>200</v>
      </c>
      <c r="E66" s="66"/>
      <c r="F66" s="67"/>
      <c r="G66" s="68"/>
      <c r="H66" s="69"/>
    </row>
    <row r="67" spans="2:8" x14ac:dyDescent="0.25">
      <c r="B67" s="234"/>
      <c r="C67" s="64">
        <v>201</v>
      </c>
      <c r="D67" s="65">
        <v>250</v>
      </c>
      <c r="E67" s="66"/>
      <c r="F67" s="67"/>
      <c r="G67" s="68"/>
      <c r="H67" s="69"/>
    </row>
    <row r="68" spans="2:8" x14ac:dyDescent="0.25">
      <c r="B68" s="234"/>
      <c r="C68" s="64">
        <v>251</v>
      </c>
      <c r="D68" s="65">
        <v>300</v>
      </c>
      <c r="E68" s="66"/>
      <c r="F68" s="67"/>
      <c r="G68" s="68"/>
      <c r="H68" s="69"/>
    </row>
    <row r="69" spans="2:8" x14ac:dyDescent="0.25">
      <c r="B69" s="234"/>
      <c r="C69" s="64">
        <v>301</v>
      </c>
      <c r="D69" s="65">
        <v>350</v>
      </c>
      <c r="E69" s="66"/>
      <c r="F69" s="67"/>
      <c r="G69" s="68"/>
      <c r="H69" s="69"/>
    </row>
    <row r="70" spans="2:8" x14ac:dyDescent="0.25">
      <c r="B70" s="234"/>
      <c r="C70" s="64">
        <v>351</v>
      </c>
      <c r="D70" s="65">
        <v>400</v>
      </c>
      <c r="E70" s="66"/>
      <c r="F70" s="67"/>
      <c r="G70" s="68"/>
      <c r="H70" s="69"/>
    </row>
    <row r="71" spans="2:8" x14ac:dyDescent="0.25">
      <c r="B71" s="234"/>
      <c r="C71" s="64">
        <v>401</v>
      </c>
      <c r="D71" s="65">
        <v>450</v>
      </c>
      <c r="E71" s="66"/>
      <c r="F71" s="67"/>
      <c r="G71" s="68"/>
      <c r="H71" s="69"/>
    </row>
    <row r="72" spans="2:8" x14ac:dyDescent="0.25">
      <c r="B72" s="234"/>
      <c r="C72" s="64">
        <v>451</v>
      </c>
      <c r="D72" s="65">
        <v>500</v>
      </c>
      <c r="E72" s="66"/>
      <c r="F72" s="67"/>
      <c r="G72" s="68"/>
      <c r="H72" s="69"/>
    </row>
    <row r="73" spans="2:8" x14ac:dyDescent="0.25">
      <c r="B73" s="234"/>
      <c r="C73" s="64">
        <v>501</v>
      </c>
      <c r="D73" s="65">
        <v>600</v>
      </c>
      <c r="E73" s="66"/>
      <c r="F73" s="67"/>
      <c r="G73" s="68"/>
      <c r="H73" s="69"/>
    </row>
    <row r="74" spans="2:8" x14ac:dyDescent="0.25">
      <c r="B74" s="234"/>
      <c r="C74" s="64">
        <v>601</v>
      </c>
      <c r="D74" s="65">
        <v>700</v>
      </c>
      <c r="E74" s="66"/>
      <c r="F74" s="67"/>
      <c r="G74" s="68"/>
      <c r="H74" s="69"/>
    </row>
    <row r="75" spans="2:8" x14ac:dyDescent="0.25">
      <c r="B75" s="234"/>
      <c r="C75" s="64">
        <v>701</v>
      </c>
      <c r="D75" s="65">
        <v>800</v>
      </c>
      <c r="E75" s="66"/>
      <c r="F75" s="67"/>
      <c r="G75" s="68"/>
      <c r="H75" s="69"/>
    </row>
    <row r="76" spans="2:8" x14ac:dyDescent="0.25">
      <c r="B76" s="234"/>
      <c r="C76" s="64">
        <v>801</v>
      </c>
      <c r="D76" s="65">
        <v>900</v>
      </c>
      <c r="E76" s="66"/>
      <c r="F76" s="67"/>
      <c r="G76" s="68"/>
      <c r="H76" s="69"/>
    </row>
    <row r="77" spans="2:8" x14ac:dyDescent="0.25">
      <c r="B77" s="234"/>
      <c r="C77" s="64">
        <v>901</v>
      </c>
      <c r="D77" s="65">
        <v>1000</v>
      </c>
      <c r="E77" s="66"/>
      <c r="F77" s="67"/>
      <c r="G77" s="68"/>
      <c r="H77" s="69"/>
    </row>
    <row r="78" spans="2:8" x14ac:dyDescent="0.25">
      <c r="B78" s="234"/>
      <c r="C78" s="64">
        <v>1001</v>
      </c>
      <c r="D78" s="65">
        <v>1100</v>
      </c>
      <c r="E78" s="66"/>
      <c r="F78" s="67"/>
      <c r="G78" s="68"/>
      <c r="H78" s="69"/>
    </row>
    <row r="79" spans="2:8" x14ac:dyDescent="0.25">
      <c r="B79" s="234"/>
      <c r="C79" s="64">
        <v>1101</v>
      </c>
      <c r="D79" s="65">
        <v>1200</v>
      </c>
      <c r="E79" s="66"/>
      <c r="F79" s="67"/>
      <c r="G79" s="68"/>
      <c r="H79" s="69"/>
    </row>
    <row r="80" spans="2:8" x14ac:dyDescent="0.25">
      <c r="B80" s="234"/>
      <c r="C80" s="64">
        <v>1201</v>
      </c>
      <c r="D80" s="65">
        <v>1300</v>
      </c>
      <c r="E80" s="66"/>
      <c r="F80" s="67"/>
      <c r="G80" s="68"/>
      <c r="H80" s="69"/>
    </row>
    <row r="81" spans="2:8" x14ac:dyDescent="0.25">
      <c r="B81" s="234"/>
      <c r="C81" s="64">
        <v>1301</v>
      </c>
      <c r="D81" s="65">
        <v>1400</v>
      </c>
      <c r="E81" s="66"/>
      <c r="F81" s="67"/>
      <c r="G81" s="68"/>
      <c r="H81" s="69"/>
    </row>
    <row r="82" spans="2:8" x14ac:dyDescent="0.25">
      <c r="B82" s="234"/>
      <c r="C82" s="64">
        <v>1401</v>
      </c>
      <c r="D82" s="65">
        <v>1500</v>
      </c>
      <c r="E82" s="66"/>
      <c r="F82" s="67"/>
      <c r="G82" s="68"/>
      <c r="H82" s="69"/>
    </row>
    <row r="83" spans="2:8" x14ac:dyDescent="0.25">
      <c r="B83" s="234"/>
      <c r="C83" s="64">
        <v>1501</v>
      </c>
      <c r="D83" s="65">
        <v>1600</v>
      </c>
      <c r="E83" s="66"/>
      <c r="F83" s="67"/>
      <c r="G83" s="68"/>
      <c r="H83" s="69"/>
    </row>
    <row r="84" spans="2:8" x14ac:dyDescent="0.25">
      <c r="B84" s="234"/>
      <c r="C84" s="64">
        <v>1601</v>
      </c>
      <c r="D84" s="65">
        <v>1700</v>
      </c>
      <c r="E84" s="66"/>
      <c r="F84" s="67"/>
      <c r="G84" s="68"/>
      <c r="H84" s="69"/>
    </row>
    <row r="85" spans="2:8" x14ac:dyDescent="0.25">
      <c r="B85" s="234"/>
      <c r="C85" s="64">
        <v>1701</v>
      </c>
      <c r="D85" s="65">
        <v>1800</v>
      </c>
      <c r="E85" s="66"/>
      <c r="F85" s="67"/>
      <c r="G85" s="68"/>
      <c r="H85" s="69"/>
    </row>
    <row r="86" spans="2:8" x14ac:dyDescent="0.25">
      <c r="B86" s="234"/>
      <c r="C86" s="64">
        <v>1801</v>
      </c>
      <c r="D86" s="65">
        <v>1900</v>
      </c>
      <c r="E86" s="66"/>
      <c r="F86" s="67"/>
      <c r="G86" s="68"/>
      <c r="H86" s="69"/>
    </row>
    <row r="87" spans="2:8" ht="15.75" thickBot="1" x14ac:dyDescent="0.3">
      <c r="B87" s="236"/>
      <c r="C87" s="72">
        <v>1901</v>
      </c>
      <c r="D87" s="73">
        <v>2000</v>
      </c>
      <c r="E87" s="74"/>
      <c r="F87" s="67"/>
      <c r="G87" s="76"/>
      <c r="H87" s="77"/>
    </row>
    <row r="88" spans="2:8" ht="15.75" thickBot="1" x14ac:dyDescent="0.3">
      <c r="B88" s="95" t="s">
        <v>48</v>
      </c>
      <c r="C88" s="96">
        <v>50</v>
      </c>
      <c r="D88" s="97">
        <v>2000</v>
      </c>
      <c r="E88" s="98"/>
      <c r="F88" s="99"/>
      <c r="G88" s="100"/>
      <c r="H88" s="101"/>
    </row>
    <row r="89" spans="2:8" ht="15.75" thickBot="1" x14ac:dyDescent="0.3">
      <c r="B89" s="95" t="s">
        <v>49</v>
      </c>
      <c r="C89" s="96">
        <v>50</v>
      </c>
      <c r="D89" s="97">
        <v>2000</v>
      </c>
      <c r="E89" s="131"/>
      <c r="F89" s="130"/>
      <c r="G89" s="128"/>
      <c r="H89" s="129"/>
    </row>
    <row r="90" spans="2:8" x14ac:dyDescent="0.25">
      <c r="B90" s="228" t="s">
        <v>50</v>
      </c>
      <c r="C90" s="62">
        <v>0</v>
      </c>
      <c r="D90" s="63">
        <v>20</v>
      </c>
      <c r="E90" s="52"/>
      <c r="F90" s="107"/>
      <c r="G90" s="54"/>
      <c r="H90" s="55"/>
    </row>
    <row r="91" spans="2:8" x14ac:dyDescent="0.25">
      <c r="B91" s="229"/>
      <c r="C91" s="64">
        <v>21</v>
      </c>
      <c r="D91" s="65">
        <v>50</v>
      </c>
      <c r="E91" s="66"/>
      <c r="F91" s="91"/>
      <c r="G91" s="68"/>
      <c r="H91" s="69"/>
    </row>
    <row r="92" spans="2:8" x14ac:dyDescent="0.25">
      <c r="B92" s="229"/>
      <c r="C92" s="64">
        <v>51</v>
      </c>
      <c r="D92" s="65">
        <v>100</v>
      </c>
      <c r="E92" s="66"/>
      <c r="F92" s="91"/>
      <c r="G92" s="68"/>
      <c r="H92" s="69"/>
    </row>
    <row r="93" spans="2:8" x14ac:dyDescent="0.25">
      <c r="B93" s="229"/>
      <c r="C93" s="64">
        <v>101</v>
      </c>
      <c r="D93" s="65">
        <v>250</v>
      </c>
      <c r="E93" s="66"/>
      <c r="F93" s="91"/>
      <c r="G93" s="68"/>
      <c r="H93" s="69"/>
    </row>
    <row r="94" spans="2:8" x14ac:dyDescent="0.25">
      <c r="B94" s="229"/>
      <c r="C94" s="64">
        <v>251</v>
      </c>
      <c r="D94" s="65">
        <v>500</v>
      </c>
      <c r="E94" s="66"/>
      <c r="F94" s="91"/>
      <c r="G94" s="68"/>
      <c r="H94" s="69"/>
    </row>
    <row r="95" spans="2:8" x14ac:dyDescent="0.25">
      <c r="B95" s="229"/>
      <c r="C95" s="64">
        <v>501</v>
      </c>
      <c r="D95" s="65">
        <v>1000</v>
      </c>
      <c r="E95" s="66"/>
      <c r="F95" s="91"/>
      <c r="G95" s="68"/>
      <c r="H95" s="69"/>
    </row>
    <row r="96" spans="2:8" x14ac:dyDescent="0.25">
      <c r="B96" s="229"/>
      <c r="C96" s="64">
        <v>1001</v>
      </c>
      <c r="D96" s="65">
        <v>1500</v>
      </c>
      <c r="E96" s="66"/>
      <c r="F96" s="91"/>
      <c r="G96" s="68"/>
      <c r="H96" s="69"/>
    </row>
    <row r="97" spans="2:8" ht="15.75" thickBot="1" x14ac:dyDescent="0.3">
      <c r="B97" s="230"/>
      <c r="C97" s="72">
        <v>1501</v>
      </c>
      <c r="D97" s="73">
        <v>2000</v>
      </c>
      <c r="E97" s="74"/>
      <c r="F97" s="93"/>
      <c r="G97" s="76"/>
      <c r="H97" s="77"/>
    </row>
    <row r="98" spans="2:8" x14ac:dyDescent="0.25">
      <c r="B98" s="228" t="s">
        <v>51</v>
      </c>
      <c r="C98" s="62">
        <v>51</v>
      </c>
      <c r="D98" s="63">
        <v>100</v>
      </c>
      <c r="E98" s="52"/>
      <c r="F98" s="107"/>
      <c r="G98" s="54"/>
      <c r="H98" s="55"/>
    </row>
    <row r="99" spans="2:8" x14ac:dyDescent="0.25">
      <c r="B99" s="229"/>
      <c r="C99" s="64">
        <v>101</v>
      </c>
      <c r="D99" s="65">
        <v>200</v>
      </c>
      <c r="E99" s="66"/>
      <c r="F99" s="91"/>
      <c r="G99" s="68"/>
      <c r="H99" s="69"/>
    </row>
    <row r="100" spans="2:8" x14ac:dyDescent="0.25">
      <c r="B100" s="229"/>
      <c r="C100" s="64">
        <v>201</v>
      </c>
      <c r="D100" s="65">
        <v>500</v>
      </c>
      <c r="E100" s="66"/>
      <c r="F100" s="91"/>
      <c r="G100" s="68"/>
      <c r="H100" s="69"/>
    </row>
    <row r="101" spans="2:8" x14ac:dyDescent="0.25">
      <c r="B101" s="229"/>
      <c r="C101" s="64">
        <v>501</v>
      </c>
      <c r="D101" s="65">
        <v>1000</v>
      </c>
      <c r="E101" s="66"/>
      <c r="F101" s="91"/>
      <c r="G101" s="68"/>
      <c r="H101" s="69"/>
    </row>
    <row r="102" spans="2:8" ht="15.75" thickBot="1" x14ac:dyDescent="0.3">
      <c r="B102" s="230"/>
      <c r="C102" s="72">
        <v>1001</v>
      </c>
      <c r="D102" s="73">
        <v>2000</v>
      </c>
      <c r="E102" s="74"/>
      <c r="F102" s="93"/>
      <c r="G102" s="76"/>
      <c r="H102" s="77"/>
    </row>
    <row r="103" spans="2:8" x14ac:dyDescent="0.25">
      <c r="B103" s="228" t="s">
        <v>52</v>
      </c>
      <c r="C103" s="62">
        <v>0</v>
      </c>
      <c r="D103" s="63">
        <v>20</v>
      </c>
      <c r="E103" s="52"/>
      <c r="F103" s="107"/>
      <c r="G103" s="54"/>
      <c r="H103" s="55"/>
    </row>
    <row r="104" spans="2:8" x14ac:dyDescent="0.25">
      <c r="B104" s="229"/>
      <c r="C104" s="64">
        <v>21</v>
      </c>
      <c r="D104" s="65">
        <v>100</v>
      </c>
      <c r="E104" s="66"/>
      <c r="F104" s="91"/>
      <c r="G104" s="68"/>
      <c r="H104" s="69"/>
    </row>
    <row r="105" spans="2:8" x14ac:dyDescent="0.25">
      <c r="B105" s="229"/>
      <c r="C105" s="64">
        <v>101</v>
      </c>
      <c r="D105" s="65">
        <v>250</v>
      </c>
      <c r="E105" s="66"/>
      <c r="F105" s="91"/>
      <c r="G105" s="68"/>
      <c r="H105" s="69"/>
    </row>
    <row r="106" spans="2:8" x14ac:dyDescent="0.25">
      <c r="B106" s="229"/>
      <c r="C106" s="64">
        <v>251</v>
      </c>
      <c r="D106" s="65">
        <v>500</v>
      </c>
      <c r="E106" s="66"/>
      <c r="F106" s="91"/>
      <c r="G106" s="68"/>
      <c r="H106" s="69"/>
    </row>
    <row r="107" spans="2:8" x14ac:dyDescent="0.25">
      <c r="B107" s="229"/>
      <c r="C107" s="64">
        <v>501</v>
      </c>
      <c r="D107" s="65">
        <v>1000</v>
      </c>
      <c r="E107" s="66"/>
      <c r="F107" s="91"/>
      <c r="G107" s="68"/>
      <c r="H107" s="69"/>
    </row>
    <row r="108" spans="2:8" x14ac:dyDescent="0.25">
      <c r="B108" s="229"/>
      <c r="C108" s="64">
        <v>1001</v>
      </c>
      <c r="D108" s="65">
        <v>1500</v>
      </c>
      <c r="E108" s="66"/>
      <c r="F108" s="91"/>
      <c r="G108" s="68"/>
      <c r="H108" s="69"/>
    </row>
    <row r="109" spans="2:8" ht="15.75" thickBot="1" x14ac:dyDescent="0.3">
      <c r="B109" s="230"/>
      <c r="C109" s="72">
        <v>1501</v>
      </c>
      <c r="D109" s="73">
        <v>2000</v>
      </c>
      <c r="E109" s="74"/>
      <c r="F109" s="93"/>
      <c r="G109" s="76"/>
      <c r="H109" s="77"/>
    </row>
    <row r="110" spans="2:8" x14ac:dyDescent="0.25">
      <c r="B110" s="228" t="s">
        <v>53</v>
      </c>
      <c r="C110" s="62">
        <v>0</v>
      </c>
      <c r="D110" s="63">
        <v>75</v>
      </c>
      <c r="E110" s="52"/>
      <c r="F110" s="107"/>
      <c r="G110" s="54"/>
      <c r="H110" s="55"/>
    </row>
    <row r="111" spans="2:8" ht="15.75" thickBot="1" x14ac:dyDescent="0.3">
      <c r="B111" s="230"/>
      <c r="C111" s="72">
        <v>76</v>
      </c>
      <c r="D111" s="73">
        <v>2000</v>
      </c>
      <c r="E111" s="58"/>
      <c r="F111" s="136"/>
      <c r="G111" s="60"/>
      <c r="H111" s="61"/>
    </row>
    <row r="112" spans="2:8" x14ac:dyDescent="0.25">
      <c r="B112" s="228" t="s">
        <v>54</v>
      </c>
      <c r="C112" s="62">
        <v>0</v>
      </c>
      <c r="D112" s="63">
        <v>500</v>
      </c>
      <c r="E112" s="122"/>
      <c r="F112" s="122"/>
      <c r="G112" s="134"/>
      <c r="H112" s="132"/>
    </row>
    <row r="113" spans="2:8" ht="15.75" thickBot="1" x14ac:dyDescent="0.3">
      <c r="B113" s="230"/>
      <c r="C113" s="72">
        <v>501</v>
      </c>
      <c r="D113" s="73">
        <v>2000</v>
      </c>
      <c r="E113" s="124"/>
      <c r="F113" s="124"/>
      <c r="G113" s="135"/>
      <c r="H113" s="133"/>
    </row>
    <row r="114" spans="2:8" ht="15.75" thickBot="1" x14ac:dyDescent="0.3">
      <c r="B114" s="95" t="s">
        <v>55</v>
      </c>
      <c r="C114" s="96">
        <v>0</v>
      </c>
      <c r="D114" s="97">
        <v>5000</v>
      </c>
      <c r="E114" s="104"/>
      <c r="F114" s="105"/>
      <c r="G114" s="106"/>
      <c r="H114" s="94"/>
    </row>
    <row r="115" spans="2:8" x14ac:dyDescent="0.25">
      <c r="B115" s="228" t="s">
        <v>56</v>
      </c>
      <c r="C115" s="108">
        <v>0</v>
      </c>
      <c r="D115" s="109">
        <v>20</v>
      </c>
      <c r="E115" s="52"/>
      <c r="F115" s="107"/>
      <c r="G115" s="54"/>
      <c r="H115" s="55"/>
    </row>
    <row r="116" spans="2:8" x14ac:dyDescent="0.25">
      <c r="B116" s="229"/>
      <c r="C116" s="64">
        <v>21</v>
      </c>
      <c r="D116" s="65">
        <v>50</v>
      </c>
      <c r="E116" s="66"/>
      <c r="F116" s="91"/>
      <c r="G116" s="68"/>
      <c r="H116" s="69"/>
    </row>
    <row r="117" spans="2:8" x14ac:dyDescent="0.25">
      <c r="B117" s="229"/>
      <c r="C117" s="64">
        <v>51</v>
      </c>
      <c r="D117" s="65">
        <v>100</v>
      </c>
      <c r="E117" s="66"/>
      <c r="F117" s="91"/>
      <c r="G117" s="68"/>
      <c r="H117" s="69"/>
    </row>
    <row r="118" spans="2:8" x14ac:dyDescent="0.25">
      <c r="B118" s="229"/>
      <c r="C118" s="64">
        <v>101</v>
      </c>
      <c r="D118" s="65">
        <v>250</v>
      </c>
      <c r="E118" s="66"/>
      <c r="F118" s="91"/>
      <c r="G118" s="68"/>
      <c r="H118" s="69"/>
    </row>
    <row r="119" spans="2:8" x14ac:dyDescent="0.25">
      <c r="B119" s="229"/>
      <c r="C119" s="64">
        <v>251</v>
      </c>
      <c r="D119" s="65">
        <v>500</v>
      </c>
      <c r="E119" s="66"/>
      <c r="F119" s="91"/>
      <c r="G119" s="68"/>
      <c r="H119" s="69"/>
    </row>
    <row r="120" spans="2:8" x14ac:dyDescent="0.25">
      <c r="B120" s="229"/>
      <c r="C120" s="64">
        <v>501</v>
      </c>
      <c r="D120" s="65">
        <v>1000</v>
      </c>
      <c r="E120" s="66"/>
      <c r="F120" s="91"/>
      <c r="G120" s="68"/>
      <c r="H120" s="69"/>
    </row>
    <row r="121" spans="2:8" x14ac:dyDescent="0.25">
      <c r="B121" s="229"/>
      <c r="C121" s="64">
        <v>1001</v>
      </c>
      <c r="D121" s="65">
        <v>1500</v>
      </c>
      <c r="E121" s="66"/>
      <c r="F121" s="91"/>
      <c r="G121" s="68"/>
      <c r="H121" s="69"/>
    </row>
    <row r="122" spans="2:8" ht="15.75" thickBot="1" x14ac:dyDescent="0.3">
      <c r="B122" s="230"/>
      <c r="C122" s="72">
        <v>1501</v>
      </c>
      <c r="D122" s="73">
        <v>2000</v>
      </c>
      <c r="E122" s="74"/>
      <c r="F122" s="93"/>
      <c r="G122" s="76"/>
      <c r="H122" s="77"/>
    </row>
    <row r="123" spans="2:8" ht="15.75" thickBot="1" x14ac:dyDescent="0.3">
      <c r="B123" s="82"/>
      <c r="C123" s="222" t="s">
        <v>27</v>
      </c>
      <c r="D123" s="223"/>
      <c r="E123" s="110">
        <f>SUM(E9:E122)</f>
        <v>0</v>
      </c>
      <c r="F123" s="111">
        <f>SUM(F9:F122)</f>
        <v>0</v>
      </c>
      <c r="G123" s="112">
        <f>SUM(G9:G122)</f>
        <v>0</v>
      </c>
      <c r="H123" s="113">
        <f>SUM(H9:H122)</f>
        <v>0</v>
      </c>
    </row>
    <row r="124" spans="2:8" ht="15.75" thickBot="1" x14ac:dyDescent="0.3">
      <c r="B124" s="190" t="s">
        <v>28</v>
      </c>
      <c r="C124" s="191">
        <v>0</v>
      </c>
      <c r="D124" s="192">
        <v>20000</v>
      </c>
      <c r="E124" s="193" t="s">
        <v>29</v>
      </c>
      <c r="F124" s="194"/>
      <c r="G124" s="194" t="s">
        <v>29</v>
      </c>
      <c r="H124" s="195"/>
    </row>
    <row r="125" spans="2:8" ht="15.75" thickBot="1" x14ac:dyDescent="0.3">
      <c r="B125" s="82"/>
      <c r="C125" s="222" t="s">
        <v>30</v>
      </c>
      <c r="D125" s="223"/>
      <c r="E125" s="224">
        <f>SUM(E123+G123)</f>
        <v>0</v>
      </c>
      <c r="F125" s="225"/>
      <c r="G125" s="226">
        <f>SUM(F123+H123)</f>
        <v>0</v>
      </c>
      <c r="H125" s="227"/>
    </row>
  </sheetData>
  <mergeCells count="26">
    <mergeCell ref="B5:D5"/>
    <mergeCell ref="E5:F5"/>
    <mergeCell ref="G5:H5"/>
    <mergeCell ref="B6:H6"/>
    <mergeCell ref="B7:B8"/>
    <mergeCell ref="C7:D7"/>
    <mergeCell ref="E7:F7"/>
    <mergeCell ref="G7:H7"/>
    <mergeCell ref="B98:B102"/>
    <mergeCell ref="B9:B10"/>
    <mergeCell ref="B11:B14"/>
    <mergeCell ref="B19:B39"/>
    <mergeCell ref="B44:B45"/>
    <mergeCell ref="B47:B50"/>
    <mergeCell ref="B51:B57"/>
    <mergeCell ref="B58:B64"/>
    <mergeCell ref="B65:B87"/>
    <mergeCell ref="B90:B97"/>
    <mergeCell ref="C125:D125"/>
    <mergeCell ref="E125:F125"/>
    <mergeCell ref="G125:H125"/>
    <mergeCell ref="B103:B109"/>
    <mergeCell ref="B110:B111"/>
    <mergeCell ref="B112:B113"/>
    <mergeCell ref="B115:B122"/>
    <mergeCell ref="C123:D123"/>
  </mergeCells>
  <pageMargins left="0.7" right="0.7" top="0.75" bottom="0.75" header="0.3" footer="0.3"/>
  <pageSetup paperSize="9" scale="7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D4E0-8E2C-4214-927F-D9F323C50B54}">
  <sheetPr>
    <pageSetUpPr fitToPage="1"/>
  </sheetPr>
  <dimension ref="B1:L126"/>
  <sheetViews>
    <sheetView topLeftCell="A3" workbookViewId="0">
      <selection activeCell="G24" sqref="G24"/>
    </sheetView>
  </sheetViews>
  <sheetFormatPr defaultRowHeight="15" x14ac:dyDescent="0.25"/>
  <cols>
    <col min="2" max="2" width="26.7109375" customWidth="1"/>
    <col min="3" max="9" width="14.7109375" customWidth="1"/>
    <col min="10" max="10" width="13.7109375" bestFit="1" customWidth="1"/>
    <col min="14" max="14" width="13.7109375" bestFit="1" customWidth="1"/>
  </cols>
  <sheetData>
    <row r="1" spans="2:9" x14ac:dyDescent="0.25">
      <c r="C1" s="114"/>
    </row>
    <row r="2" spans="2:9" x14ac:dyDescent="0.25">
      <c r="C2" s="114"/>
    </row>
    <row r="3" spans="2:9" x14ac:dyDescent="0.25">
      <c r="C3" s="114"/>
    </row>
    <row r="4" spans="2:9" x14ac:dyDescent="0.25">
      <c r="C4" s="114"/>
    </row>
    <row r="5" spans="2:9" ht="15.75" thickBot="1" x14ac:dyDescent="0.3">
      <c r="B5" s="212" t="s">
        <v>182</v>
      </c>
      <c r="C5" s="212"/>
      <c r="D5" s="212"/>
      <c r="E5" s="212" t="s">
        <v>184</v>
      </c>
      <c r="F5" s="212"/>
      <c r="H5" s="212" t="s">
        <v>185</v>
      </c>
      <c r="I5" s="212"/>
    </row>
    <row r="6" spans="2:9" ht="15.75" thickBot="1" x14ac:dyDescent="0.3">
      <c r="B6" s="254" t="s">
        <v>109</v>
      </c>
      <c r="C6" s="255"/>
      <c r="D6" s="255"/>
      <c r="E6" s="255"/>
      <c r="F6" s="255"/>
      <c r="G6" s="255"/>
      <c r="H6" s="255"/>
      <c r="I6" s="256"/>
    </row>
    <row r="7" spans="2:9" ht="15.75" thickBot="1" x14ac:dyDescent="0.3">
      <c r="B7" s="257" t="s">
        <v>57</v>
      </c>
      <c r="C7" s="211" t="s">
        <v>58</v>
      </c>
      <c r="D7" s="259" t="s">
        <v>59</v>
      </c>
      <c r="E7" s="260"/>
      <c r="F7" s="259" t="s">
        <v>60</v>
      </c>
      <c r="G7" s="260"/>
      <c r="H7" s="261" t="s">
        <v>61</v>
      </c>
      <c r="I7" s="260"/>
    </row>
    <row r="8" spans="2:9" ht="15.75" thickBot="1" x14ac:dyDescent="0.3">
      <c r="B8" s="258"/>
      <c r="C8" s="210"/>
      <c r="D8" s="115" t="s">
        <v>8</v>
      </c>
      <c r="E8" s="78" t="s">
        <v>9</v>
      </c>
      <c r="F8" s="115" t="s">
        <v>8</v>
      </c>
      <c r="G8" s="78" t="s">
        <v>9</v>
      </c>
      <c r="H8" s="116" t="s">
        <v>8</v>
      </c>
      <c r="I8" s="78" t="s">
        <v>9</v>
      </c>
    </row>
    <row r="9" spans="2:9" ht="16.5" thickBot="1" x14ac:dyDescent="0.3">
      <c r="B9" s="252" t="s">
        <v>175</v>
      </c>
      <c r="C9" s="253"/>
      <c r="D9" s="173"/>
      <c r="E9" s="173"/>
      <c r="F9" s="173"/>
      <c r="G9" s="173"/>
      <c r="H9" s="173"/>
      <c r="I9" s="174"/>
    </row>
    <row r="10" spans="2:9" ht="15.75" thickBot="1" x14ac:dyDescent="0.3">
      <c r="B10" s="141" t="s">
        <v>111</v>
      </c>
      <c r="C10" s="142" t="s">
        <v>63</v>
      </c>
      <c r="D10" s="155"/>
      <c r="E10" s="139"/>
      <c r="F10" s="155"/>
      <c r="G10" s="139"/>
      <c r="H10" s="155"/>
      <c r="I10" s="139"/>
    </row>
    <row r="11" spans="2:9" ht="15.75" thickBot="1" x14ac:dyDescent="0.3">
      <c r="B11" s="143" t="s">
        <v>112</v>
      </c>
      <c r="C11" s="144" t="s">
        <v>63</v>
      </c>
      <c r="D11" s="156"/>
      <c r="E11" s="137"/>
      <c r="F11" s="156"/>
      <c r="G11" s="137"/>
      <c r="H11" s="156"/>
      <c r="I11" s="137"/>
    </row>
    <row r="12" spans="2:9" ht="15.75" thickBot="1" x14ac:dyDescent="0.3">
      <c r="B12" s="143" t="s">
        <v>113</v>
      </c>
      <c r="C12" s="144" t="s">
        <v>63</v>
      </c>
      <c r="D12" s="156"/>
      <c r="E12" s="137"/>
      <c r="F12" s="156"/>
      <c r="G12" s="137"/>
      <c r="H12" s="156"/>
      <c r="I12" s="137"/>
    </row>
    <row r="13" spans="2:9" ht="15.75" thickBot="1" x14ac:dyDescent="0.3">
      <c r="B13" s="143" t="s">
        <v>114</v>
      </c>
      <c r="C13" s="144" t="s">
        <v>63</v>
      </c>
      <c r="D13" s="156"/>
      <c r="E13" s="137"/>
      <c r="F13" s="156"/>
      <c r="G13" s="137"/>
      <c r="H13" s="156"/>
      <c r="I13" s="137"/>
    </row>
    <row r="14" spans="2:9" ht="15.75" thickBot="1" x14ac:dyDescent="0.3">
      <c r="B14" s="145" t="s">
        <v>115</v>
      </c>
      <c r="C14" s="146" t="s">
        <v>63</v>
      </c>
      <c r="D14" s="156"/>
      <c r="E14" s="137"/>
      <c r="F14" s="156"/>
      <c r="G14" s="137"/>
      <c r="H14" s="156"/>
      <c r="I14" s="137"/>
    </row>
    <row r="15" spans="2:9" ht="15.75" thickBot="1" x14ac:dyDescent="0.3">
      <c r="B15" s="143" t="s">
        <v>116</v>
      </c>
      <c r="C15" s="144" t="s">
        <v>63</v>
      </c>
      <c r="D15" s="156"/>
      <c r="E15" s="137"/>
      <c r="F15" s="156"/>
      <c r="G15" s="137"/>
      <c r="H15" s="156"/>
      <c r="I15" s="137"/>
    </row>
    <row r="16" spans="2:9" ht="15.75" thickBot="1" x14ac:dyDescent="0.3">
      <c r="B16" s="143" t="s">
        <v>117</v>
      </c>
      <c r="C16" s="144" t="s">
        <v>63</v>
      </c>
      <c r="D16" s="156"/>
      <c r="E16" s="137"/>
      <c r="F16" s="156"/>
      <c r="G16" s="137"/>
      <c r="H16" s="156"/>
      <c r="I16" s="137"/>
    </row>
    <row r="17" spans="2:9" ht="15.75" thickBot="1" x14ac:dyDescent="0.3">
      <c r="B17" s="143" t="s">
        <v>118</v>
      </c>
      <c r="C17" s="144" t="s">
        <v>63</v>
      </c>
      <c r="D17" s="156"/>
      <c r="E17" s="137"/>
      <c r="F17" s="156"/>
      <c r="G17" s="137"/>
      <c r="H17" s="156"/>
      <c r="I17" s="137"/>
    </row>
    <row r="18" spans="2:9" ht="15.75" thickBot="1" x14ac:dyDescent="0.3">
      <c r="B18" s="143" t="s">
        <v>119</v>
      </c>
      <c r="C18" s="144" t="s">
        <v>63</v>
      </c>
      <c r="D18" s="156"/>
      <c r="E18" s="137"/>
      <c r="F18" s="156"/>
      <c r="G18" s="137"/>
      <c r="H18" s="156"/>
      <c r="I18" s="137"/>
    </row>
    <row r="19" spans="2:9" ht="15.75" thickBot="1" x14ac:dyDescent="0.3">
      <c r="B19" s="143" t="s">
        <v>120</v>
      </c>
      <c r="C19" s="144" t="s">
        <v>63</v>
      </c>
      <c r="D19" s="156"/>
      <c r="E19" s="137"/>
      <c r="F19" s="156"/>
      <c r="G19" s="137"/>
      <c r="H19" s="156"/>
      <c r="I19" s="137"/>
    </row>
    <row r="20" spans="2:9" ht="15.75" thickBot="1" x14ac:dyDescent="0.3">
      <c r="B20" s="143" t="s">
        <v>121</v>
      </c>
      <c r="C20" s="144" t="s">
        <v>63</v>
      </c>
      <c r="D20" s="156"/>
      <c r="E20" s="137"/>
      <c r="F20" s="156"/>
      <c r="G20" s="137"/>
      <c r="H20" s="156"/>
      <c r="I20" s="137"/>
    </row>
    <row r="21" spans="2:9" ht="15.75" thickBot="1" x14ac:dyDescent="0.3">
      <c r="B21" s="143" t="s">
        <v>122</v>
      </c>
      <c r="C21" s="144" t="s">
        <v>63</v>
      </c>
      <c r="D21" s="156"/>
      <c r="E21" s="137"/>
      <c r="F21" s="156"/>
      <c r="G21" s="137"/>
      <c r="H21" s="156"/>
      <c r="I21" s="137"/>
    </row>
    <row r="22" spans="2:9" ht="15.75" thickBot="1" x14ac:dyDescent="0.3">
      <c r="B22" s="143" t="s">
        <v>123</v>
      </c>
      <c r="C22" s="144" t="s">
        <v>63</v>
      </c>
      <c r="D22" s="156"/>
      <c r="E22" s="137"/>
      <c r="F22" s="156"/>
      <c r="G22" s="137"/>
      <c r="H22" s="156"/>
      <c r="I22" s="137"/>
    </row>
    <row r="23" spans="2:9" ht="15.75" thickBot="1" x14ac:dyDescent="0.3">
      <c r="B23" s="143" t="s">
        <v>124</v>
      </c>
      <c r="C23" s="144" t="s">
        <v>63</v>
      </c>
      <c r="D23" s="156"/>
      <c r="E23" s="137"/>
      <c r="F23" s="156"/>
      <c r="G23" s="137"/>
      <c r="H23" s="156"/>
      <c r="I23" s="137"/>
    </row>
    <row r="24" spans="2:9" ht="15.75" thickBot="1" x14ac:dyDescent="0.3">
      <c r="B24" s="143" t="s">
        <v>125</v>
      </c>
      <c r="C24" s="144" t="s">
        <v>63</v>
      </c>
      <c r="D24" s="156"/>
      <c r="E24" s="137"/>
      <c r="F24" s="156"/>
      <c r="G24" s="137"/>
      <c r="H24" s="156"/>
      <c r="I24" s="137"/>
    </row>
    <row r="25" spans="2:9" ht="15.75" thickBot="1" x14ac:dyDescent="0.3">
      <c r="B25" s="143" t="s">
        <v>126</v>
      </c>
      <c r="C25" s="144" t="s">
        <v>63</v>
      </c>
      <c r="D25" s="156"/>
      <c r="E25" s="137"/>
      <c r="F25" s="156"/>
      <c r="G25" s="137"/>
      <c r="H25" s="156"/>
      <c r="I25" s="137"/>
    </row>
    <row r="26" spans="2:9" ht="15.75" thickBot="1" x14ac:dyDescent="0.3">
      <c r="B26" s="143" t="s">
        <v>127</v>
      </c>
      <c r="C26" s="144" t="s">
        <v>63</v>
      </c>
      <c r="D26" s="156"/>
      <c r="E26" s="137"/>
      <c r="F26" s="156"/>
      <c r="G26" s="137"/>
      <c r="H26" s="156"/>
      <c r="I26" s="137"/>
    </row>
    <row r="27" spans="2:9" ht="15.75" thickBot="1" x14ac:dyDescent="0.3">
      <c r="B27" s="143" t="s">
        <v>128</v>
      </c>
      <c r="C27" s="144" t="s">
        <v>63</v>
      </c>
      <c r="D27" s="156"/>
      <c r="E27" s="137"/>
      <c r="F27" s="156"/>
      <c r="G27" s="137"/>
      <c r="H27" s="156"/>
      <c r="I27" s="137"/>
    </row>
    <row r="28" spans="2:9" ht="15.75" thickBot="1" x14ac:dyDescent="0.3">
      <c r="B28" s="143" t="s">
        <v>129</v>
      </c>
      <c r="C28" s="144" t="s">
        <v>63</v>
      </c>
      <c r="D28" s="156"/>
      <c r="E28" s="137"/>
      <c r="F28" s="156"/>
      <c r="G28" s="137"/>
      <c r="H28" s="156"/>
      <c r="I28" s="137"/>
    </row>
    <row r="29" spans="2:9" ht="15.75" thickBot="1" x14ac:dyDescent="0.3">
      <c r="B29" s="143" t="s">
        <v>130</v>
      </c>
      <c r="C29" s="144" t="s">
        <v>63</v>
      </c>
      <c r="D29" s="156"/>
      <c r="E29" s="137"/>
      <c r="F29" s="156"/>
      <c r="G29" s="137"/>
      <c r="H29" s="156"/>
      <c r="I29" s="137"/>
    </row>
    <row r="30" spans="2:9" ht="15.75" thickBot="1" x14ac:dyDescent="0.3">
      <c r="B30" s="147" t="s">
        <v>131</v>
      </c>
      <c r="C30" s="148" t="s">
        <v>63</v>
      </c>
      <c r="D30" s="156"/>
      <c r="E30" s="137"/>
      <c r="F30" s="156"/>
      <c r="G30" s="137"/>
      <c r="H30" s="156"/>
      <c r="I30" s="137"/>
    </row>
    <row r="31" spans="2:9" ht="15.75" thickBot="1" x14ac:dyDescent="0.3">
      <c r="B31" s="143" t="s">
        <v>132</v>
      </c>
      <c r="C31" s="144" t="s">
        <v>63</v>
      </c>
      <c r="D31" s="156"/>
      <c r="E31" s="137"/>
      <c r="F31" s="156"/>
      <c r="G31" s="137"/>
      <c r="H31" s="156"/>
      <c r="I31" s="137"/>
    </row>
    <row r="32" spans="2:9" ht="15.75" thickBot="1" x14ac:dyDescent="0.3">
      <c r="B32" s="147" t="s">
        <v>133</v>
      </c>
      <c r="C32" s="148" t="s">
        <v>63</v>
      </c>
      <c r="D32" s="156"/>
      <c r="E32" s="137"/>
      <c r="F32" s="156"/>
      <c r="G32" s="137"/>
      <c r="H32" s="156"/>
      <c r="I32" s="137"/>
    </row>
    <row r="33" spans="2:9" ht="15.75" thickBot="1" x14ac:dyDescent="0.3">
      <c r="B33" s="143" t="s">
        <v>134</v>
      </c>
      <c r="C33" s="144" t="s">
        <v>63</v>
      </c>
      <c r="D33" s="156"/>
      <c r="E33" s="137"/>
      <c r="F33" s="156"/>
      <c r="G33" s="137"/>
      <c r="H33" s="156"/>
      <c r="I33" s="137"/>
    </row>
    <row r="34" spans="2:9" ht="15.75" thickBot="1" x14ac:dyDescent="0.3">
      <c r="B34" s="147" t="s">
        <v>135</v>
      </c>
      <c r="C34" s="148" t="s">
        <v>63</v>
      </c>
      <c r="D34" s="156"/>
      <c r="E34" s="137"/>
      <c r="F34" s="156"/>
      <c r="G34" s="137"/>
      <c r="H34" s="156"/>
      <c r="I34" s="137"/>
    </row>
    <row r="35" spans="2:9" ht="15.75" thickBot="1" x14ac:dyDescent="0.3">
      <c r="B35" s="143" t="s">
        <v>136</v>
      </c>
      <c r="C35" s="144" t="s">
        <v>63</v>
      </c>
      <c r="D35" s="156"/>
      <c r="E35" s="137"/>
      <c r="F35" s="156"/>
      <c r="G35" s="137"/>
      <c r="H35" s="156"/>
      <c r="I35" s="137"/>
    </row>
    <row r="36" spans="2:9" ht="15.75" thickBot="1" x14ac:dyDescent="0.3">
      <c r="B36" s="141" t="s">
        <v>137</v>
      </c>
      <c r="C36" s="142" t="s">
        <v>63</v>
      </c>
      <c r="D36" s="156"/>
      <c r="E36" s="137"/>
      <c r="F36" s="156"/>
      <c r="G36" s="137"/>
      <c r="H36" s="156"/>
      <c r="I36" s="137"/>
    </row>
    <row r="37" spans="2:9" ht="15.75" thickBot="1" x14ac:dyDescent="0.3">
      <c r="B37" s="147" t="s">
        <v>138</v>
      </c>
      <c r="C37" s="148" t="s">
        <v>63</v>
      </c>
      <c r="D37" s="156"/>
      <c r="E37" s="137"/>
      <c r="F37" s="156"/>
      <c r="G37" s="137"/>
      <c r="H37" s="156"/>
      <c r="I37" s="137"/>
    </row>
    <row r="38" spans="2:9" ht="15.75" thickBot="1" x14ac:dyDescent="0.3">
      <c r="B38" s="143" t="s">
        <v>139</v>
      </c>
      <c r="C38" s="144" t="s">
        <v>63</v>
      </c>
      <c r="D38" s="156"/>
      <c r="E38" s="137"/>
      <c r="F38" s="156"/>
      <c r="G38" s="137"/>
      <c r="H38" s="156"/>
      <c r="I38" s="137"/>
    </row>
    <row r="39" spans="2:9" ht="15.75" thickBot="1" x14ac:dyDescent="0.3">
      <c r="B39" s="143" t="s">
        <v>140</v>
      </c>
      <c r="C39" s="144" t="s">
        <v>63</v>
      </c>
      <c r="D39" s="156"/>
      <c r="E39" s="137"/>
      <c r="F39" s="156"/>
      <c r="G39" s="137"/>
      <c r="H39" s="156"/>
      <c r="I39" s="137"/>
    </row>
    <row r="40" spans="2:9" ht="15.75" thickBot="1" x14ac:dyDescent="0.3">
      <c r="B40" s="147" t="s">
        <v>141</v>
      </c>
      <c r="C40" s="148" t="s">
        <v>63</v>
      </c>
      <c r="D40" s="157"/>
      <c r="E40" s="140"/>
      <c r="F40" s="157"/>
      <c r="G40" s="140"/>
      <c r="H40" s="157"/>
      <c r="I40" s="140"/>
    </row>
    <row r="41" spans="2:9" ht="16.5" thickBot="1" x14ac:dyDescent="0.3">
      <c r="B41" s="252" t="s">
        <v>176</v>
      </c>
      <c r="C41" s="253"/>
      <c r="D41" s="175"/>
      <c r="E41" s="176"/>
      <c r="F41" s="175"/>
      <c r="G41" s="176"/>
      <c r="H41" s="175"/>
      <c r="I41" s="177"/>
    </row>
    <row r="42" spans="2:9" ht="15.75" thickBot="1" x14ac:dyDescent="0.3">
      <c r="B42" s="143" t="s">
        <v>142</v>
      </c>
      <c r="C42" s="144" t="s">
        <v>63</v>
      </c>
      <c r="D42" s="156"/>
      <c r="E42" s="137"/>
      <c r="F42" s="156"/>
      <c r="G42" s="137"/>
      <c r="H42" s="156"/>
      <c r="I42" s="137"/>
    </row>
    <row r="43" spans="2:9" ht="15.75" thickBot="1" x14ac:dyDescent="0.3">
      <c r="B43" s="147" t="s">
        <v>143</v>
      </c>
      <c r="C43" s="148" t="s">
        <v>63</v>
      </c>
      <c r="D43" s="158"/>
      <c r="E43" s="151"/>
      <c r="F43" s="158"/>
      <c r="G43" s="151"/>
      <c r="H43" s="158"/>
      <c r="I43" s="151"/>
    </row>
    <row r="44" spans="2:9" ht="16.5" thickBot="1" x14ac:dyDescent="0.3">
      <c r="B44" s="243" t="s">
        <v>177</v>
      </c>
      <c r="C44" s="244"/>
      <c r="D44" s="178"/>
      <c r="E44" s="179"/>
      <c r="F44" s="178"/>
      <c r="G44" s="179"/>
      <c r="H44" s="178"/>
      <c r="I44" s="180"/>
    </row>
    <row r="45" spans="2:9" ht="15.75" thickBot="1" x14ac:dyDescent="0.3">
      <c r="B45" s="143" t="s">
        <v>144</v>
      </c>
      <c r="C45" s="144" t="s">
        <v>63</v>
      </c>
      <c r="D45" s="156"/>
      <c r="E45" s="137"/>
      <c r="F45" s="156"/>
      <c r="G45" s="137"/>
      <c r="H45" s="156"/>
      <c r="I45" s="137"/>
    </row>
    <row r="46" spans="2:9" ht="15.75" thickBot="1" x14ac:dyDescent="0.3">
      <c r="B46" s="147" t="s">
        <v>145</v>
      </c>
      <c r="C46" s="148" t="s">
        <v>63</v>
      </c>
      <c r="D46" s="158"/>
      <c r="E46" s="151"/>
      <c r="F46" s="158"/>
      <c r="G46" s="151"/>
      <c r="H46" s="158"/>
      <c r="I46" s="151"/>
    </row>
    <row r="47" spans="2:9" ht="15.75" thickBot="1" x14ac:dyDescent="0.3">
      <c r="B47" s="143" t="s">
        <v>104</v>
      </c>
      <c r="C47" s="144" t="s">
        <v>63</v>
      </c>
      <c r="D47" s="156"/>
      <c r="E47" s="137"/>
      <c r="F47" s="156"/>
      <c r="G47" s="137"/>
      <c r="H47" s="156"/>
      <c r="I47" s="137"/>
    </row>
    <row r="48" spans="2:9" ht="15.75" thickBot="1" x14ac:dyDescent="0.3">
      <c r="B48" s="147" t="s">
        <v>146</v>
      </c>
      <c r="C48" s="148" t="s">
        <v>63</v>
      </c>
      <c r="D48" s="158"/>
      <c r="E48" s="151"/>
      <c r="F48" s="158"/>
      <c r="G48" s="151"/>
      <c r="H48" s="158"/>
      <c r="I48" s="151"/>
    </row>
    <row r="49" spans="2:9" ht="15.75" thickBot="1" x14ac:dyDescent="0.3">
      <c r="B49" s="143" t="s">
        <v>147</v>
      </c>
      <c r="C49" s="144" t="s">
        <v>63</v>
      </c>
      <c r="D49" s="156"/>
      <c r="E49" s="137"/>
      <c r="F49" s="156"/>
      <c r="G49" s="137"/>
      <c r="H49" s="156"/>
      <c r="I49" s="137"/>
    </row>
    <row r="50" spans="2:9" ht="15.75" thickBot="1" x14ac:dyDescent="0.3">
      <c r="B50" s="141" t="s">
        <v>148</v>
      </c>
      <c r="C50" s="148" t="s">
        <v>63</v>
      </c>
      <c r="D50" s="158"/>
      <c r="E50" s="151"/>
      <c r="F50" s="158"/>
      <c r="G50" s="151"/>
      <c r="H50" s="158"/>
      <c r="I50" s="151"/>
    </row>
    <row r="51" spans="2:9" ht="16.5" thickBot="1" x14ac:dyDescent="0.3">
      <c r="B51" s="243" t="s">
        <v>178</v>
      </c>
      <c r="C51" s="244"/>
      <c r="D51" s="181"/>
      <c r="E51" s="179"/>
      <c r="F51" s="178"/>
      <c r="G51" s="179"/>
      <c r="H51" s="178"/>
      <c r="I51" s="180"/>
    </row>
    <row r="52" spans="2:9" ht="15.75" thickBot="1" x14ac:dyDescent="0.3">
      <c r="B52" s="143" t="s">
        <v>149</v>
      </c>
      <c r="C52" s="144" t="s">
        <v>63</v>
      </c>
      <c r="D52" s="156"/>
      <c r="E52" s="137"/>
      <c r="F52" s="156"/>
      <c r="G52" s="137"/>
      <c r="H52" s="156"/>
      <c r="I52" s="137"/>
    </row>
    <row r="53" spans="2:9" ht="15.75" thickBot="1" x14ac:dyDescent="0.3">
      <c r="B53" s="147" t="s">
        <v>150</v>
      </c>
      <c r="C53" s="148" t="s">
        <v>63</v>
      </c>
      <c r="D53" s="158"/>
      <c r="E53" s="151"/>
      <c r="F53" s="158"/>
      <c r="G53" s="151"/>
      <c r="H53" s="158"/>
      <c r="I53" s="151"/>
    </row>
    <row r="54" spans="2:9" ht="15.75" thickBot="1" x14ac:dyDescent="0.3">
      <c r="B54" s="143" t="s">
        <v>62</v>
      </c>
      <c r="C54" s="144" t="s">
        <v>63</v>
      </c>
      <c r="D54" s="156"/>
      <c r="E54" s="137"/>
      <c r="F54" s="156"/>
      <c r="G54" s="137"/>
      <c r="H54" s="156"/>
      <c r="I54" s="137"/>
    </row>
    <row r="55" spans="2:9" ht="15.75" thickBot="1" x14ac:dyDescent="0.3">
      <c r="B55" s="147" t="s">
        <v>151</v>
      </c>
      <c r="C55" s="148" t="s">
        <v>63</v>
      </c>
      <c r="D55" s="158"/>
      <c r="E55" s="151"/>
      <c r="F55" s="158"/>
      <c r="G55" s="151"/>
      <c r="H55" s="158"/>
      <c r="I55" s="151"/>
    </row>
    <row r="56" spans="2:9" ht="15.75" thickBot="1" x14ac:dyDescent="0.3">
      <c r="B56" s="143" t="s">
        <v>152</v>
      </c>
      <c r="C56" s="144" t="s">
        <v>63</v>
      </c>
      <c r="D56" s="156"/>
      <c r="E56" s="137"/>
      <c r="F56" s="156"/>
      <c r="G56" s="137"/>
      <c r="H56" s="156"/>
      <c r="I56" s="137"/>
    </row>
    <row r="57" spans="2:9" ht="15.75" thickBot="1" x14ac:dyDescent="0.3">
      <c r="B57" s="147" t="s">
        <v>102</v>
      </c>
      <c r="C57" s="148" t="s">
        <v>63</v>
      </c>
      <c r="D57" s="158"/>
      <c r="E57" s="151"/>
      <c r="F57" s="158"/>
      <c r="G57" s="151"/>
      <c r="H57" s="158"/>
      <c r="I57" s="151"/>
    </row>
    <row r="58" spans="2:9" ht="15.75" thickBot="1" x14ac:dyDescent="0.3">
      <c r="B58" s="143" t="s">
        <v>64</v>
      </c>
      <c r="C58" s="144" t="s">
        <v>63</v>
      </c>
      <c r="D58" s="156"/>
      <c r="E58" s="137"/>
      <c r="F58" s="156"/>
      <c r="G58" s="137"/>
      <c r="H58" s="156"/>
      <c r="I58" s="137"/>
    </row>
    <row r="59" spans="2:9" ht="15.75" thickBot="1" x14ac:dyDescent="0.3">
      <c r="B59" s="143" t="s">
        <v>65</v>
      </c>
      <c r="C59" s="144" t="s">
        <v>63</v>
      </c>
      <c r="D59" s="156"/>
      <c r="E59" s="137"/>
      <c r="F59" s="156"/>
      <c r="G59" s="137"/>
      <c r="H59" s="156"/>
      <c r="I59" s="137"/>
    </row>
    <row r="60" spans="2:9" ht="15.75" thickBot="1" x14ac:dyDescent="0.3">
      <c r="B60" s="171" t="s">
        <v>66</v>
      </c>
      <c r="C60" s="141" t="s">
        <v>68</v>
      </c>
      <c r="D60" s="160"/>
      <c r="E60" s="152"/>
      <c r="F60" s="155"/>
      <c r="G60" s="139"/>
      <c r="H60" s="155"/>
      <c r="I60" s="139"/>
    </row>
    <row r="61" spans="2:9" ht="15.75" thickBot="1" x14ac:dyDescent="0.3">
      <c r="B61" s="147" t="s">
        <v>69</v>
      </c>
      <c r="C61" s="148" t="s">
        <v>63</v>
      </c>
      <c r="D61" s="158"/>
      <c r="E61" s="151"/>
      <c r="F61" s="158"/>
      <c r="G61" s="151"/>
      <c r="H61" s="158"/>
      <c r="I61" s="151"/>
    </row>
    <row r="62" spans="2:9" ht="15.75" thickBot="1" x14ac:dyDescent="0.3">
      <c r="B62" s="143" t="s">
        <v>70</v>
      </c>
      <c r="C62" s="144" t="s">
        <v>63</v>
      </c>
      <c r="D62" s="156"/>
      <c r="E62" s="137"/>
      <c r="F62" s="156"/>
      <c r="G62" s="137"/>
      <c r="H62" s="156"/>
      <c r="I62" s="137"/>
    </row>
    <row r="63" spans="2:9" ht="15.75" thickBot="1" x14ac:dyDescent="0.3">
      <c r="B63" s="147" t="s">
        <v>71</v>
      </c>
      <c r="C63" s="148" t="s">
        <v>63</v>
      </c>
      <c r="D63" s="158"/>
      <c r="E63" s="151"/>
      <c r="F63" s="158"/>
      <c r="G63" s="151"/>
      <c r="H63" s="158"/>
      <c r="I63" s="151"/>
    </row>
    <row r="64" spans="2:9" ht="15.75" thickBot="1" x14ac:dyDescent="0.3">
      <c r="B64" s="143" t="s">
        <v>72</v>
      </c>
      <c r="C64" s="144" t="s">
        <v>63</v>
      </c>
      <c r="D64" s="156"/>
      <c r="E64" s="137"/>
      <c r="F64" s="156"/>
      <c r="G64" s="137"/>
      <c r="H64" s="156"/>
      <c r="I64" s="137"/>
    </row>
    <row r="65" spans="2:9" ht="15.75" thickBot="1" x14ac:dyDescent="0.3">
      <c r="B65" s="143" t="s">
        <v>73</v>
      </c>
      <c r="C65" s="144" t="s">
        <v>63</v>
      </c>
      <c r="D65" s="156"/>
      <c r="E65" s="137"/>
      <c r="F65" s="156"/>
      <c r="G65" s="137"/>
      <c r="H65" s="156"/>
      <c r="I65" s="137"/>
    </row>
    <row r="66" spans="2:9" x14ac:dyDescent="0.25">
      <c r="B66" s="215" t="s">
        <v>74</v>
      </c>
      <c r="C66" s="149" t="s">
        <v>67</v>
      </c>
      <c r="D66" s="159"/>
      <c r="E66" s="138"/>
      <c r="F66" s="159"/>
      <c r="G66" s="138"/>
      <c r="H66" s="159"/>
      <c r="I66" s="138"/>
    </row>
    <row r="67" spans="2:9" ht="15.75" thickBot="1" x14ac:dyDescent="0.3">
      <c r="B67" s="216"/>
      <c r="C67" s="142" t="s">
        <v>68</v>
      </c>
      <c r="D67" s="160"/>
      <c r="E67" s="152"/>
      <c r="F67" s="155"/>
      <c r="G67" s="139"/>
      <c r="H67" s="155"/>
      <c r="I67" s="139"/>
    </row>
    <row r="68" spans="2:9" ht="15.75" thickBot="1" x14ac:dyDescent="0.3">
      <c r="B68" s="143" t="s">
        <v>153</v>
      </c>
      <c r="C68" s="144" t="s">
        <v>63</v>
      </c>
      <c r="D68" s="156"/>
      <c r="E68" s="137"/>
      <c r="F68" s="156"/>
      <c r="G68" s="137"/>
      <c r="H68" s="156"/>
      <c r="I68" s="137"/>
    </row>
    <row r="69" spans="2:9" x14ac:dyDescent="0.25">
      <c r="B69" s="215" t="s">
        <v>75</v>
      </c>
      <c r="C69" s="149" t="s">
        <v>76</v>
      </c>
      <c r="D69" s="159"/>
      <c r="E69" s="138"/>
      <c r="F69" s="159"/>
      <c r="G69" s="138"/>
      <c r="H69" s="159"/>
      <c r="I69" s="138"/>
    </row>
    <row r="70" spans="2:9" ht="15.75" thickBot="1" x14ac:dyDescent="0.3">
      <c r="B70" s="249"/>
      <c r="C70" s="148" t="s">
        <v>77</v>
      </c>
      <c r="D70" s="161"/>
      <c r="E70" s="153"/>
      <c r="F70" s="161"/>
      <c r="G70" s="153"/>
      <c r="H70" s="158"/>
      <c r="I70" s="151"/>
    </row>
    <row r="71" spans="2:9" ht="15.75" thickBot="1" x14ac:dyDescent="0.3">
      <c r="B71" s="143" t="s">
        <v>78</v>
      </c>
      <c r="C71" s="144" t="s">
        <v>63</v>
      </c>
      <c r="D71" s="156"/>
      <c r="E71" s="137"/>
      <c r="F71" s="156"/>
      <c r="G71" s="137"/>
      <c r="H71" s="156"/>
      <c r="I71" s="137"/>
    </row>
    <row r="72" spans="2:9" ht="15.75" thickBot="1" x14ac:dyDescent="0.3">
      <c r="B72" s="147" t="s">
        <v>79</v>
      </c>
      <c r="C72" s="148" t="s">
        <v>63</v>
      </c>
      <c r="D72" s="158"/>
      <c r="E72" s="151"/>
      <c r="F72" s="158"/>
      <c r="G72" s="151"/>
      <c r="H72" s="158"/>
      <c r="I72" s="151"/>
    </row>
    <row r="73" spans="2:9" ht="15.75" thickBot="1" x14ac:dyDescent="0.3">
      <c r="B73" s="143" t="s">
        <v>80</v>
      </c>
      <c r="C73" s="144" t="s">
        <v>63</v>
      </c>
      <c r="D73" s="156"/>
      <c r="E73" s="137"/>
      <c r="F73" s="197"/>
      <c r="G73" s="198"/>
      <c r="H73" s="197"/>
      <c r="I73" s="198"/>
    </row>
    <row r="74" spans="2:9" ht="15.75" thickBot="1" x14ac:dyDescent="0.3">
      <c r="B74" s="147" t="s">
        <v>103</v>
      </c>
      <c r="C74" s="148" t="s">
        <v>63</v>
      </c>
      <c r="D74" s="158"/>
      <c r="E74" s="151"/>
      <c r="F74" s="158"/>
      <c r="G74" s="151"/>
      <c r="H74" s="158"/>
      <c r="I74" s="151"/>
    </row>
    <row r="75" spans="2:9" x14ac:dyDescent="0.25">
      <c r="B75" s="215" t="s">
        <v>81</v>
      </c>
      <c r="C75" s="149" t="s">
        <v>82</v>
      </c>
      <c r="D75" s="159"/>
      <c r="E75" s="138"/>
      <c r="F75" s="159"/>
      <c r="G75" s="138"/>
      <c r="H75" s="159"/>
      <c r="I75" s="138"/>
    </row>
    <row r="76" spans="2:9" x14ac:dyDescent="0.25">
      <c r="B76" s="249"/>
      <c r="C76" s="150" t="s">
        <v>83</v>
      </c>
      <c r="D76" s="162"/>
      <c r="E76" s="154"/>
      <c r="F76" s="163"/>
      <c r="G76" s="164"/>
      <c r="H76" s="163"/>
      <c r="I76" s="164"/>
    </row>
    <row r="77" spans="2:9" ht="15.75" thickBot="1" x14ac:dyDescent="0.3">
      <c r="B77" s="249"/>
      <c r="C77" s="148" t="s">
        <v>84</v>
      </c>
      <c r="D77" s="161"/>
      <c r="E77" s="153"/>
      <c r="F77" s="158"/>
      <c r="G77" s="151"/>
      <c r="H77" s="158"/>
      <c r="I77" s="151"/>
    </row>
    <row r="78" spans="2:9" ht="15.75" thickBot="1" x14ac:dyDescent="0.3">
      <c r="B78" s="143" t="s">
        <v>154</v>
      </c>
      <c r="C78" s="144" t="s">
        <v>63</v>
      </c>
      <c r="D78" s="156"/>
      <c r="E78" s="137"/>
      <c r="F78" s="156"/>
      <c r="G78" s="137"/>
      <c r="H78" s="156"/>
      <c r="I78" s="137"/>
    </row>
    <row r="79" spans="2:9" ht="15.75" thickBot="1" x14ac:dyDescent="0.3">
      <c r="B79" s="147" t="s">
        <v>155</v>
      </c>
      <c r="C79" s="148" t="s">
        <v>63</v>
      </c>
      <c r="D79" s="158"/>
      <c r="E79" s="151"/>
      <c r="F79" s="158"/>
      <c r="G79" s="151"/>
      <c r="H79" s="158"/>
      <c r="I79" s="151"/>
    </row>
    <row r="80" spans="2:9" ht="15.75" thickBot="1" x14ac:dyDescent="0.3">
      <c r="B80" s="143" t="s">
        <v>85</v>
      </c>
      <c r="C80" s="144" t="s">
        <v>63</v>
      </c>
      <c r="D80" s="156"/>
      <c r="E80" s="137"/>
      <c r="F80" s="156"/>
      <c r="G80" s="137"/>
      <c r="H80" s="156"/>
      <c r="I80" s="137"/>
    </row>
    <row r="81" spans="2:9" x14ac:dyDescent="0.25">
      <c r="B81" s="147" t="s">
        <v>86</v>
      </c>
      <c r="C81" s="148" t="s">
        <v>63</v>
      </c>
      <c r="D81" s="158"/>
      <c r="E81" s="151"/>
      <c r="F81" s="158"/>
      <c r="G81" s="151"/>
      <c r="H81" s="158"/>
      <c r="I81" s="151"/>
    </row>
    <row r="82" spans="2:9" ht="15.75" thickBot="1" x14ac:dyDescent="0.3">
      <c r="B82" s="147" t="s">
        <v>87</v>
      </c>
      <c r="C82" s="148" t="s">
        <v>63</v>
      </c>
      <c r="D82" s="158"/>
      <c r="E82" s="151"/>
      <c r="F82" s="158"/>
      <c r="G82" s="151"/>
      <c r="H82" s="158"/>
      <c r="I82" s="151"/>
    </row>
    <row r="83" spans="2:9" ht="15.75" thickBot="1" x14ac:dyDescent="0.3">
      <c r="B83" s="143" t="s">
        <v>88</v>
      </c>
      <c r="C83" s="144" t="s">
        <v>63</v>
      </c>
      <c r="D83" s="156"/>
      <c r="E83" s="137"/>
      <c r="F83" s="156"/>
      <c r="G83" s="137"/>
      <c r="H83" s="156"/>
      <c r="I83" s="137"/>
    </row>
    <row r="84" spans="2:9" ht="15.75" thickBot="1" x14ac:dyDescent="0.3">
      <c r="B84" s="147" t="s">
        <v>156</v>
      </c>
      <c r="C84" s="148" t="s">
        <v>63</v>
      </c>
      <c r="D84" s="158"/>
      <c r="E84" s="151"/>
      <c r="F84" s="158"/>
      <c r="G84" s="151"/>
      <c r="H84" s="158"/>
      <c r="I84" s="151"/>
    </row>
    <row r="85" spans="2:9" ht="15.75" thickBot="1" x14ac:dyDescent="0.3">
      <c r="B85" s="143" t="s">
        <v>105</v>
      </c>
      <c r="C85" s="144" t="s">
        <v>63</v>
      </c>
      <c r="D85" s="156"/>
      <c r="E85" s="137"/>
      <c r="F85" s="156"/>
      <c r="G85" s="137"/>
      <c r="H85" s="156"/>
      <c r="I85" s="137"/>
    </row>
    <row r="86" spans="2:9" ht="15.75" thickBot="1" x14ac:dyDescent="0.3">
      <c r="B86" s="143" t="s">
        <v>89</v>
      </c>
      <c r="C86" s="144" t="s">
        <v>63</v>
      </c>
      <c r="D86" s="156"/>
      <c r="E86" s="137"/>
      <c r="F86" s="156"/>
      <c r="G86" s="137"/>
      <c r="H86" s="156"/>
      <c r="I86" s="137"/>
    </row>
    <row r="87" spans="2:9" ht="15.75" thickBot="1" x14ac:dyDescent="0.3">
      <c r="B87" s="147" t="s">
        <v>90</v>
      </c>
      <c r="C87" s="148" t="s">
        <v>63</v>
      </c>
      <c r="D87" s="158"/>
      <c r="E87" s="151"/>
      <c r="F87" s="158"/>
      <c r="G87" s="151"/>
      <c r="H87" s="158"/>
      <c r="I87" s="151"/>
    </row>
    <row r="88" spans="2:9" ht="15.75" thickBot="1" x14ac:dyDescent="0.3">
      <c r="B88" s="145" t="s">
        <v>91</v>
      </c>
      <c r="C88" s="146" t="s">
        <v>63</v>
      </c>
      <c r="D88" s="157"/>
      <c r="E88" s="140"/>
      <c r="F88" s="157"/>
      <c r="G88" s="140"/>
      <c r="H88" s="157"/>
      <c r="I88" s="140"/>
    </row>
    <row r="89" spans="2:9" x14ac:dyDescent="0.25">
      <c r="B89" s="215" t="s">
        <v>92</v>
      </c>
      <c r="C89" s="149" t="s">
        <v>82</v>
      </c>
      <c r="D89" s="159"/>
      <c r="E89" s="138"/>
      <c r="F89" s="159"/>
      <c r="G89" s="138"/>
      <c r="H89" s="159"/>
      <c r="I89" s="138"/>
    </row>
    <row r="90" spans="2:9" ht="15.75" thickBot="1" x14ac:dyDescent="0.3">
      <c r="B90" s="216"/>
      <c r="C90" s="142" t="s">
        <v>93</v>
      </c>
      <c r="D90" s="160"/>
      <c r="E90" s="152"/>
      <c r="F90" s="155"/>
      <c r="G90" s="139"/>
      <c r="H90" s="155"/>
      <c r="I90" s="139"/>
    </row>
    <row r="91" spans="2:9" ht="15.75" thickBot="1" x14ac:dyDescent="0.3">
      <c r="B91" s="147" t="s">
        <v>94</v>
      </c>
      <c r="C91" s="148" t="s">
        <v>63</v>
      </c>
      <c r="D91" s="158"/>
      <c r="E91" s="151"/>
      <c r="F91" s="158"/>
      <c r="G91" s="151"/>
      <c r="H91" s="158"/>
      <c r="I91" s="151"/>
    </row>
    <row r="92" spans="2:9" ht="15.75" thickBot="1" x14ac:dyDescent="0.3">
      <c r="B92" s="143" t="s">
        <v>95</v>
      </c>
      <c r="C92" s="144" t="s">
        <v>63</v>
      </c>
      <c r="D92" s="156"/>
      <c r="E92" s="137"/>
      <c r="F92" s="156"/>
      <c r="G92" s="137"/>
      <c r="H92" s="156"/>
      <c r="I92" s="137"/>
    </row>
    <row r="93" spans="2:9" ht="15.75" thickBot="1" x14ac:dyDescent="0.3">
      <c r="B93" s="147" t="s">
        <v>96</v>
      </c>
      <c r="C93" s="148" t="s">
        <v>63</v>
      </c>
      <c r="D93" s="158"/>
      <c r="E93" s="151"/>
      <c r="F93" s="158"/>
      <c r="G93" s="151"/>
      <c r="H93" s="158"/>
      <c r="I93" s="151"/>
    </row>
    <row r="94" spans="2:9" ht="15.75" thickBot="1" x14ac:dyDescent="0.3">
      <c r="B94" s="143" t="s">
        <v>97</v>
      </c>
      <c r="C94" s="144" t="s">
        <v>63</v>
      </c>
      <c r="D94" s="156"/>
      <c r="E94" s="137"/>
      <c r="F94" s="156"/>
      <c r="G94" s="137"/>
      <c r="H94" s="156"/>
      <c r="I94" s="137"/>
    </row>
    <row r="95" spans="2:9" ht="15.75" thickBot="1" x14ac:dyDescent="0.3">
      <c r="B95" s="147" t="s">
        <v>98</v>
      </c>
      <c r="C95" s="148" t="s">
        <v>63</v>
      </c>
      <c r="D95" s="158"/>
      <c r="E95" s="151"/>
      <c r="F95" s="158"/>
      <c r="G95" s="151"/>
      <c r="H95" s="158"/>
      <c r="I95" s="151"/>
    </row>
    <row r="96" spans="2:9" ht="15.75" thickBot="1" x14ac:dyDescent="0.3">
      <c r="B96" s="143" t="s">
        <v>99</v>
      </c>
      <c r="C96" s="144" t="s">
        <v>63</v>
      </c>
      <c r="D96" s="156"/>
      <c r="E96" s="137"/>
      <c r="F96" s="156"/>
      <c r="G96" s="137"/>
      <c r="H96" s="156"/>
      <c r="I96" s="137"/>
    </row>
    <row r="97" spans="2:9" ht="15.75" thickBot="1" x14ac:dyDescent="0.3">
      <c r="B97" s="147" t="s">
        <v>157</v>
      </c>
      <c r="C97" s="148" t="s">
        <v>63</v>
      </c>
      <c r="D97" s="158"/>
      <c r="E97" s="151"/>
      <c r="F97" s="158"/>
      <c r="G97" s="151"/>
      <c r="H97" s="158"/>
      <c r="I97" s="151"/>
    </row>
    <row r="98" spans="2:9" ht="15.75" thickBot="1" x14ac:dyDescent="0.3">
      <c r="B98" s="143" t="s">
        <v>100</v>
      </c>
      <c r="C98" s="144" t="s">
        <v>63</v>
      </c>
      <c r="D98" s="156"/>
      <c r="E98" s="137"/>
      <c r="F98" s="156"/>
      <c r="G98" s="137"/>
      <c r="H98" s="156"/>
      <c r="I98" s="137"/>
    </row>
    <row r="99" spans="2:9" ht="15.75" thickBot="1" x14ac:dyDescent="0.3">
      <c r="B99" s="141" t="s">
        <v>158</v>
      </c>
      <c r="C99" s="148" t="s">
        <v>63</v>
      </c>
      <c r="D99" s="158"/>
      <c r="E99" s="151"/>
      <c r="F99" s="158"/>
      <c r="G99" s="151"/>
      <c r="H99" s="158"/>
      <c r="I99" s="151"/>
    </row>
    <row r="100" spans="2:9" ht="16.5" thickBot="1" x14ac:dyDescent="0.3">
      <c r="B100" s="243" t="s">
        <v>179</v>
      </c>
      <c r="C100" s="244"/>
      <c r="D100" s="181"/>
      <c r="E100" s="179"/>
      <c r="F100" s="178"/>
      <c r="G100" s="179"/>
      <c r="H100" s="178"/>
      <c r="I100" s="180"/>
    </row>
    <row r="101" spans="2:9" ht="15.75" thickBot="1" x14ac:dyDescent="0.3">
      <c r="B101" s="143" t="s">
        <v>159</v>
      </c>
      <c r="C101" s="144" t="s">
        <v>63</v>
      </c>
      <c r="D101" s="156"/>
      <c r="E101" s="137"/>
      <c r="F101" s="156"/>
      <c r="G101" s="137"/>
      <c r="H101" s="156"/>
      <c r="I101" s="137"/>
    </row>
    <row r="102" spans="2:9" ht="15.75" thickBot="1" x14ac:dyDescent="0.3">
      <c r="B102" s="147" t="s">
        <v>160</v>
      </c>
      <c r="C102" s="148" t="s">
        <v>63</v>
      </c>
      <c r="D102" s="158"/>
      <c r="E102" s="151"/>
      <c r="F102" s="158"/>
      <c r="G102" s="151"/>
      <c r="H102" s="158"/>
      <c r="I102" s="151"/>
    </row>
    <row r="103" spans="2:9" ht="15.75" thickBot="1" x14ac:dyDescent="0.3">
      <c r="B103" s="143" t="s">
        <v>161</v>
      </c>
      <c r="C103" s="144" t="s">
        <v>63</v>
      </c>
      <c r="D103" s="156"/>
      <c r="E103" s="137"/>
      <c r="F103" s="156"/>
      <c r="G103" s="137"/>
      <c r="H103" s="156"/>
      <c r="I103" s="137"/>
    </row>
    <row r="104" spans="2:9" ht="15.75" thickBot="1" x14ac:dyDescent="0.3">
      <c r="B104" s="147" t="s">
        <v>162</v>
      </c>
      <c r="C104" s="148" t="s">
        <v>63</v>
      </c>
      <c r="D104" s="158"/>
      <c r="E104" s="151"/>
      <c r="F104" s="158"/>
      <c r="G104" s="151"/>
      <c r="H104" s="158"/>
      <c r="I104" s="151"/>
    </row>
    <row r="105" spans="2:9" ht="15.75" thickBot="1" x14ac:dyDescent="0.3">
      <c r="B105" s="143" t="s">
        <v>163</v>
      </c>
      <c r="C105" s="144" t="s">
        <v>63</v>
      </c>
      <c r="D105" s="156"/>
      <c r="E105" s="137"/>
      <c r="F105" s="156"/>
      <c r="G105" s="137"/>
      <c r="H105" s="156"/>
      <c r="I105" s="137"/>
    </row>
    <row r="106" spans="2:9" ht="15.75" thickBot="1" x14ac:dyDescent="0.3">
      <c r="B106" s="147" t="s">
        <v>164</v>
      </c>
      <c r="C106" s="148" t="s">
        <v>63</v>
      </c>
      <c r="D106" s="158"/>
      <c r="E106" s="151"/>
      <c r="F106" s="158"/>
      <c r="G106" s="151"/>
      <c r="H106" s="158"/>
      <c r="I106" s="151"/>
    </row>
    <row r="107" spans="2:9" ht="15.75" thickBot="1" x14ac:dyDescent="0.3">
      <c r="B107" s="143" t="s">
        <v>165</v>
      </c>
      <c r="C107" s="144" t="s">
        <v>63</v>
      </c>
      <c r="D107" s="156"/>
      <c r="E107" s="137"/>
      <c r="F107" s="156"/>
      <c r="G107" s="137"/>
      <c r="H107" s="156"/>
      <c r="I107" s="137"/>
    </row>
    <row r="108" spans="2:9" ht="15.75" thickBot="1" x14ac:dyDescent="0.3">
      <c r="B108" s="147" t="s">
        <v>166</v>
      </c>
      <c r="C108" s="148" t="s">
        <v>63</v>
      </c>
      <c r="D108" s="158"/>
      <c r="E108" s="151"/>
      <c r="F108" s="158"/>
      <c r="G108" s="151"/>
      <c r="H108" s="158"/>
      <c r="I108" s="151"/>
    </row>
    <row r="109" spans="2:9" ht="15.75" thickBot="1" x14ac:dyDescent="0.3">
      <c r="B109" s="143" t="s">
        <v>167</v>
      </c>
      <c r="C109" s="144" t="s">
        <v>63</v>
      </c>
      <c r="D109" s="156"/>
      <c r="E109" s="137"/>
      <c r="F109" s="156"/>
      <c r="G109" s="137"/>
      <c r="H109" s="156"/>
      <c r="I109" s="137"/>
    </row>
    <row r="110" spans="2:9" ht="16.5" thickBot="1" x14ac:dyDescent="0.3">
      <c r="B110" s="245" t="s">
        <v>180</v>
      </c>
      <c r="C110" s="246"/>
      <c r="D110" s="182"/>
      <c r="E110" s="183"/>
      <c r="F110" s="184"/>
      <c r="G110" s="183"/>
      <c r="H110" s="184"/>
      <c r="I110" s="185"/>
    </row>
    <row r="111" spans="2:9" ht="15.75" thickBot="1" x14ac:dyDescent="0.3">
      <c r="B111" s="143" t="s">
        <v>168</v>
      </c>
      <c r="C111" s="144" t="s">
        <v>63</v>
      </c>
      <c r="D111" s="156"/>
      <c r="E111" s="137"/>
      <c r="F111" s="156"/>
      <c r="G111" s="137"/>
      <c r="H111" s="156"/>
      <c r="I111" s="137"/>
    </row>
    <row r="112" spans="2:9" ht="15.75" thickBot="1" x14ac:dyDescent="0.3">
      <c r="B112" s="147" t="s">
        <v>169</v>
      </c>
      <c r="C112" s="148" t="s">
        <v>63</v>
      </c>
      <c r="D112" s="158"/>
      <c r="E112" s="151"/>
      <c r="F112" s="158"/>
      <c r="G112" s="151"/>
      <c r="H112" s="158"/>
      <c r="I112" s="151"/>
    </row>
    <row r="113" spans="2:12" ht="15.75" thickBot="1" x14ac:dyDescent="0.3">
      <c r="B113" s="143" t="s">
        <v>103</v>
      </c>
      <c r="C113" s="144" t="s">
        <v>63</v>
      </c>
      <c r="D113" s="156"/>
      <c r="E113" s="137"/>
      <c r="F113" s="156"/>
      <c r="G113" s="137"/>
      <c r="H113" s="156"/>
      <c r="I113" s="137"/>
    </row>
    <row r="114" spans="2:12" ht="15.75" thickBot="1" x14ac:dyDescent="0.3">
      <c r="B114" s="147" t="s">
        <v>170</v>
      </c>
      <c r="C114" s="148" t="s">
        <v>63</v>
      </c>
      <c r="D114" s="158"/>
      <c r="E114" s="151"/>
      <c r="F114" s="158"/>
      <c r="G114" s="151"/>
      <c r="H114" s="158"/>
      <c r="I114" s="151"/>
    </row>
    <row r="115" spans="2:12" ht="15.75" thickBot="1" x14ac:dyDescent="0.3">
      <c r="B115" s="143" t="s">
        <v>171</v>
      </c>
      <c r="C115" s="144" t="s">
        <v>63</v>
      </c>
      <c r="D115" s="156"/>
      <c r="E115" s="137"/>
      <c r="F115" s="156"/>
      <c r="G115" s="137"/>
      <c r="H115" s="156"/>
      <c r="I115" s="137"/>
    </row>
    <row r="116" spans="2:12" ht="15.75" thickBot="1" x14ac:dyDescent="0.3">
      <c r="B116" s="147" t="s">
        <v>172</v>
      </c>
      <c r="C116" s="148" t="s">
        <v>63</v>
      </c>
      <c r="D116" s="158"/>
      <c r="E116" s="151"/>
      <c r="F116" s="158"/>
      <c r="G116" s="151"/>
      <c r="H116" s="158"/>
      <c r="I116" s="151"/>
    </row>
    <row r="117" spans="2:12" ht="15.75" thickBot="1" x14ac:dyDescent="0.3">
      <c r="B117" s="143" t="s">
        <v>173</v>
      </c>
      <c r="C117" s="144" t="s">
        <v>63</v>
      </c>
      <c r="D117" s="156"/>
      <c r="E117" s="137"/>
      <c r="F117" s="156"/>
      <c r="G117" s="137"/>
      <c r="H117" s="156"/>
      <c r="I117" s="137"/>
    </row>
    <row r="118" spans="2:12" ht="15.75" thickBot="1" x14ac:dyDescent="0.3">
      <c r="B118" s="141" t="s">
        <v>174</v>
      </c>
      <c r="C118" s="148" t="s">
        <v>63</v>
      </c>
      <c r="D118" s="158"/>
      <c r="E118" s="151"/>
      <c r="F118" s="158"/>
      <c r="G118" s="151"/>
      <c r="H118" s="158"/>
      <c r="I118" s="151"/>
    </row>
    <row r="119" spans="2:12" ht="16.5" thickBot="1" x14ac:dyDescent="0.3">
      <c r="B119" s="247" t="s">
        <v>181</v>
      </c>
      <c r="C119" s="248"/>
      <c r="D119" s="186"/>
      <c r="E119" s="176"/>
      <c r="F119" s="175"/>
      <c r="G119" s="176"/>
      <c r="H119" s="175"/>
      <c r="I119" s="177"/>
      <c r="K119" s="172"/>
      <c r="L119" s="172"/>
    </row>
    <row r="120" spans="2:12" ht="15.75" thickBot="1" x14ac:dyDescent="0.3">
      <c r="B120" s="143" t="s">
        <v>101</v>
      </c>
      <c r="C120" s="144" t="s">
        <v>63</v>
      </c>
      <c r="D120" s="156"/>
      <c r="E120" s="137"/>
      <c r="F120" s="156"/>
      <c r="G120" s="137"/>
      <c r="H120" s="156"/>
      <c r="I120" s="137"/>
    </row>
    <row r="121" spans="2:12" x14ac:dyDescent="0.25">
      <c r="B121" s="215" t="s">
        <v>107</v>
      </c>
      <c r="C121" s="149" t="s">
        <v>106</v>
      </c>
      <c r="D121" s="159"/>
      <c r="E121" s="138"/>
      <c r="F121" s="159"/>
      <c r="G121" s="138"/>
      <c r="H121" s="159"/>
      <c r="I121" s="138"/>
    </row>
    <row r="122" spans="2:12" ht="15.75" thickBot="1" x14ac:dyDescent="0.3">
      <c r="B122" s="249"/>
      <c r="C122" s="148" t="s">
        <v>108</v>
      </c>
      <c r="D122" s="158"/>
      <c r="E122" s="151"/>
      <c r="F122" s="158"/>
      <c r="G122" s="151"/>
      <c r="H122" s="158"/>
      <c r="I122" s="151"/>
    </row>
    <row r="123" spans="2:12" ht="15.75" thickBot="1" x14ac:dyDescent="0.3">
      <c r="B123" s="187"/>
      <c r="C123" s="188"/>
      <c r="D123" s="186"/>
      <c r="E123" s="176"/>
      <c r="F123" s="175"/>
      <c r="G123" s="176"/>
      <c r="H123" s="189"/>
      <c r="I123" s="177"/>
    </row>
    <row r="124" spans="2:12" ht="15.75" thickBot="1" x14ac:dyDescent="0.3">
      <c r="B124" s="250" t="s">
        <v>27</v>
      </c>
      <c r="C124" s="251"/>
      <c r="D124" s="165">
        <f t="shared" ref="D124:I124" si="0">SUM(D10:D122)</f>
        <v>0</v>
      </c>
      <c r="E124" s="166">
        <f t="shared" si="0"/>
        <v>0</v>
      </c>
      <c r="F124" s="167">
        <f t="shared" si="0"/>
        <v>0</v>
      </c>
      <c r="G124" s="168">
        <f t="shared" si="0"/>
        <v>0</v>
      </c>
      <c r="H124" s="169">
        <f t="shared" si="0"/>
        <v>0</v>
      </c>
      <c r="I124" s="170">
        <f t="shared" si="0"/>
        <v>0</v>
      </c>
    </row>
    <row r="125" spans="2:12" ht="15.75" thickBot="1" x14ac:dyDescent="0.3">
      <c r="C125" s="114"/>
    </row>
    <row r="126" spans="2:12" ht="15.75" thickBot="1" x14ac:dyDescent="0.3">
      <c r="B126" s="237" t="s">
        <v>30</v>
      </c>
      <c r="C126" s="238"/>
      <c r="D126" s="239">
        <f>SUM(D124+F124+H124)</f>
        <v>0</v>
      </c>
      <c r="E126" s="240"/>
      <c r="F126" s="241"/>
      <c r="G126" s="242"/>
      <c r="H126" s="226">
        <f>SUM(E124+G124+I124)</f>
        <v>0</v>
      </c>
      <c r="I126" s="227"/>
    </row>
  </sheetData>
  <mergeCells count="26">
    <mergeCell ref="B5:D5"/>
    <mergeCell ref="E5:F5"/>
    <mergeCell ref="H5:I5"/>
    <mergeCell ref="B6:I6"/>
    <mergeCell ref="B7:B8"/>
    <mergeCell ref="C7:C8"/>
    <mergeCell ref="D7:E7"/>
    <mergeCell ref="F7:G7"/>
    <mergeCell ref="H7:I7"/>
    <mergeCell ref="B66:B67"/>
    <mergeCell ref="B69:B70"/>
    <mergeCell ref="B75:B77"/>
    <mergeCell ref="B89:B90"/>
    <mergeCell ref="B9:C9"/>
    <mergeCell ref="B41:C41"/>
    <mergeCell ref="B44:C44"/>
    <mergeCell ref="B51:C51"/>
    <mergeCell ref="B126:C126"/>
    <mergeCell ref="D126:E126"/>
    <mergeCell ref="F126:G126"/>
    <mergeCell ref="H126:I126"/>
    <mergeCell ref="B100:C100"/>
    <mergeCell ref="B110:C110"/>
    <mergeCell ref="B119:C119"/>
    <mergeCell ref="B121:B122"/>
    <mergeCell ref="B124:C124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Mail Africa 2025</vt:lpstr>
      <vt:lpstr>Mail Americas 2025</vt:lpstr>
      <vt:lpstr>Europe &amp; ROW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.</dc:creator>
  <cp:lastModifiedBy>Karen Hill</cp:lastModifiedBy>
  <cp:lastPrinted>2025-09-15T13:25:26Z</cp:lastPrinted>
  <dcterms:created xsi:type="dcterms:W3CDTF">2024-02-20T13:17:38Z</dcterms:created>
  <dcterms:modified xsi:type="dcterms:W3CDTF">2025-09-15T13:28:43Z</dcterms:modified>
</cp:coreProperties>
</file>