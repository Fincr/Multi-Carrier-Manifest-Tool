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U:\Erith\Hailey Road\Exports, Goods-Out\Templates\"/>
    </mc:Choice>
  </mc:AlternateContent>
  <xr:revisionPtr revIDLastSave="0" documentId="13_ncr:1_{849F7766-D373-4736-8F1D-FF487A5860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iority Manifest" sheetId="1" r:id="rId1"/>
    <sheet name="Non-Priority Manifest" sheetId="10" r:id="rId2"/>
    <sheet name="M-Bag Priority Manifest" sheetId="3" r:id="rId3"/>
    <sheet name="M-Bag Non-Priority Manifest" sheetId="11" r:id="rId4"/>
    <sheet name="Country Code LU" sheetId="9" state="hidden" r:id="rId5"/>
  </sheets>
  <externalReferences>
    <externalReference r:id="rId6"/>
  </externalReferences>
  <definedNames>
    <definedName name="ar">#REF!</definedName>
    <definedName name="cl">#REF!</definedName>
    <definedName name="comp">#REF!</definedName>
    <definedName name="compagnies_retenues">#REF!</definedName>
    <definedName name="comparison">#REF!</definedName>
    <definedName name="countries">#REF!</definedName>
    <definedName name="COUNTRYLU">'Country Code LU'!$A$1:$D$250</definedName>
    <definedName name="cov">#REF!</definedName>
    <definedName name="customers">#REF!</definedName>
    <definedName name="format">#REF!</definedName>
    <definedName name="labelling">#REF!</definedName>
    <definedName name="lpuk">#REF!</definedName>
    <definedName name="offerchosen">#REF!</definedName>
    <definedName name="option">#REF!</definedName>
    <definedName name="_xlnm.Print_Area" localSheetId="3">'M-Bag Non-Priority Manifest'!$A$1:$Q$55</definedName>
    <definedName name="_xlnm.Print_Area" localSheetId="2">'M-Bag Priority Manifest'!$A$1:$Q$55</definedName>
    <definedName name="_xlnm.Print_Area" localSheetId="1">'Non-Priority Manifest'!$B$1:$Q$204</definedName>
    <definedName name="_xlnm.Print_Area" localSheetId="0">'Priority Manifest'!$B$1:$Q$203</definedName>
    <definedName name="rmtariff">#REF!</definedName>
    <definedName name="ServiceLevel">[1]Data!$A$2:$A$3</definedName>
    <definedName name="type">#REF!</definedName>
    <definedName name="valid_from" localSheetId="3">#REF!</definedName>
    <definedName name="valid_from" localSheetId="2">#REF!</definedName>
    <definedName name="valid_from" localSheetId="1">#REF!</definedName>
    <definedName name="valid_from" localSheetId="0">#REF!</definedName>
    <definedName name="valid_from">#REF!</definedName>
    <definedName name="value">#REF!</definedName>
    <definedName name="vs">#REF!</definedName>
    <definedName name="weigh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25" i="11" l="1"/>
  <c r="B4" i="10"/>
  <c r="B52" i="10"/>
  <c r="P45" i="1"/>
  <c r="O45" i="1"/>
  <c r="P45" i="10"/>
  <c r="O45" i="10"/>
  <c r="AB54" i="11"/>
  <c r="AB53" i="11"/>
  <c r="U53" i="11"/>
  <c r="AB52" i="11"/>
  <c r="U52" i="11"/>
  <c r="AB51" i="11"/>
  <c r="AB50" i="11"/>
  <c r="U50" i="11"/>
  <c r="AB49" i="11"/>
  <c r="AB48" i="11"/>
  <c r="AB47" i="11"/>
  <c r="U47" i="11"/>
  <c r="AB46" i="11"/>
  <c r="AB45" i="11"/>
  <c r="AB44" i="11"/>
  <c r="U44" i="11"/>
  <c r="AB43" i="11"/>
  <c r="AB42" i="11"/>
  <c r="AB41" i="11"/>
  <c r="AB40" i="11"/>
  <c r="U40" i="11"/>
  <c r="AB39" i="11"/>
  <c r="AB38" i="11"/>
  <c r="AB37" i="11"/>
  <c r="N32" i="11"/>
  <c r="I32" i="11"/>
  <c r="D32" i="11"/>
  <c r="O25" i="11"/>
  <c r="AB21" i="11"/>
  <c r="AB18" i="11"/>
  <c r="AB17" i="11"/>
  <c r="AB16" i="11"/>
  <c r="AB15" i="11"/>
  <c r="AB14" i="11"/>
  <c r="AB13" i="11"/>
  <c r="B4" i="11"/>
  <c r="U53" i="3"/>
  <c r="U52" i="3"/>
  <c r="U50" i="3"/>
  <c r="U47" i="3"/>
  <c r="U44" i="3"/>
  <c r="U40" i="3"/>
  <c r="AB54" i="3"/>
  <c r="AB53" i="3"/>
  <c r="AB52" i="3"/>
  <c r="AB51" i="3"/>
  <c r="AB50" i="3"/>
  <c r="AB49" i="3"/>
  <c r="AB48" i="3"/>
  <c r="AB47" i="3"/>
  <c r="AB46" i="3"/>
  <c r="AB45" i="3"/>
  <c r="AB44" i="3"/>
  <c r="AB43" i="3"/>
  <c r="AB42" i="3"/>
  <c r="AB41" i="3"/>
  <c r="AB40" i="3"/>
  <c r="AB39" i="3"/>
  <c r="AB38" i="3"/>
  <c r="AB37" i="3"/>
  <c r="AB21" i="3"/>
  <c r="AB18" i="3"/>
  <c r="AB17" i="3"/>
  <c r="AB16" i="3"/>
  <c r="AB15" i="3"/>
  <c r="AB14" i="3"/>
  <c r="AB13" i="3"/>
  <c r="V173" i="10"/>
  <c r="V144" i="10"/>
  <c r="V143" i="10"/>
  <c r="W177" i="10"/>
  <c r="W176" i="10"/>
  <c r="W171" i="10"/>
  <c r="W165" i="10"/>
  <c r="W164" i="10"/>
  <c r="W147" i="10"/>
  <c r="W125" i="10"/>
  <c r="W122" i="10"/>
  <c r="W121" i="10"/>
  <c r="W113" i="10"/>
  <c r="W80" i="10"/>
  <c r="V170" i="10"/>
  <c r="AB99" i="10"/>
  <c r="W99" i="10"/>
  <c r="AB98" i="10"/>
  <c r="AB97" i="10"/>
  <c r="AB96" i="10"/>
  <c r="AB95" i="10"/>
  <c r="AB94" i="10"/>
  <c r="AB93" i="10"/>
  <c r="AB92" i="10"/>
  <c r="AB91" i="10"/>
  <c r="AB90" i="10"/>
  <c r="AB89" i="10"/>
  <c r="AB88" i="10"/>
  <c r="AB87" i="10"/>
  <c r="AB86" i="10"/>
  <c r="AB85" i="10"/>
  <c r="AB84" i="10"/>
  <c r="AB83" i="10"/>
  <c r="AB82" i="10"/>
  <c r="AB81" i="10"/>
  <c r="AB80" i="10"/>
  <c r="AB79" i="10"/>
  <c r="AB78" i="10"/>
  <c r="AB77" i="10"/>
  <c r="AB76" i="10"/>
  <c r="AB71" i="10"/>
  <c r="AB70" i="10"/>
  <c r="AB69" i="10"/>
  <c r="AB68" i="10"/>
  <c r="AB67" i="10"/>
  <c r="AB66" i="10"/>
  <c r="AB64" i="10"/>
  <c r="AB63" i="10"/>
  <c r="AB62" i="10"/>
  <c r="AB61" i="10"/>
  <c r="AB60" i="10"/>
  <c r="AB41" i="10"/>
  <c r="AB39" i="10"/>
  <c r="AB38" i="10"/>
  <c r="AB37" i="10"/>
  <c r="AB36" i="10"/>
  <c r="AB35" i="10"/>
  <c r="AB34" i="10"/>
  <c r="AB33" i="10"/>
  <c r="AB32" i="10"/>
  <c r="AB31" i="10"/>
  <c r="AB30" i="10"/>
  <c r="AB29" i="10"/>
  <c r="AB28" i="10"/>
  <c r="AB27" i="10"/>
  <c r="AB26" i="10"/>
  <c r="AB25" i="10"/>
  <c r="AB24" i="10"/>
  <c r="AB23" i="10"/>
  <c r="AB22" i="10"/>
  <c r="AB21" i="10"/>
  <c r="AB20" i="10"/>
  <c r="AB19" i="10"/>
  <c r="AB18" i="10"/>
  <c r="AB17" i="10"/>
  <c r="AB16" i="10"/>
  <c r="AB15" i="10"/>
  <c r="AB14" i="10"/>
  <c r="AB13" i="10"/>
  <c r="W177" i="1"/>
  <c r="W176" i="1"/>
  <c r="W171" i="1"/>
  <c r="W164" i="1"/>
  <c r="W147" i="1"/>
  <c r="W125" i="1"/>
  <c r="W122" i="1"/>
  <c r="W121" i="1"/>
  <c r="W113" i="1"/>
  <c r="W99" i="1"/>
  <c r="W80" i="1"/>
  <c r="V173" i="1"/>
  <c r="V170" i="1"/>
  <c r="V144" i="1"/>
  <c r="AG99" i="1"/>
  <c r="AG98" i="1"/>
  <c r="AG97" i="1"/>
  <c r="AG96" i="1"/>
  <c r="AG95" i="1"/>
  <c r="AG94" i="1"/>
  <c r="AG93" i="1"/>
  <c r="AG92" i="1"/>
  <c r="AG91" i="1"/>
  <c r="AG90" i="1"/>
  <c r="AG89" i="1"/>
  <c r="AG88" i="1"/>
  <c r="AG87" i="1"/>
  <c r="AG86" i="1"/>
  <c r="AG85" i="1"/>
  <c r="AG84" i="1"/>
  <c r="AG83" i="1"/>
  <c r="AG82" i="1"/>
  <c r="AG81" i="1"/>
  <c r="AG80" i="1"/>
  <c r="AG79" i="1"/>
  <c r="AG78" i="1"/>
  <c r="AG77" i="1"/>
  <c r="AG76" i="1"/>
  <c r="AB99" i="1"/>
  <c r="AB98" i="1"/>
  <c r="AB97" i="1"/>
  <c r="AB96" i="1"/>
  <c r="AB95" i="1"/>
  <c r="AB94" i="1"/>
  <c r="AB93" i="1"/>
  <c r="AB92" i="1"/>
  <c r="AB91" i="1"/>
  <c r="AB90" i="1"/>
  <c r="AB89" i="1"/>
  <c r="AB88" i="1"/>
  <c r="AB87" i="1"/>
  <c r="AB86" i="1"/>
  <c r="AB85" i="1"/>
  <c r="AB84" i="1"/>
  <c r="AB83" i="1"/>
  <c r="AB82" i="1"/>
  <c r="AB81" i="1"/>
  <c r="AB80" i="1"/>
  <c r="AB79" i="1"/>
  <c r="AB78" i="1"/>
  <c r="AB77" i="1"/>
  <c r="AB76" i="1"/>
  <c r="AB71" i="1"/>
  <c r="AB70" i="1"/>
  <c r="AB69" i="1"/>
  <c r="AB68" i="1"/>
  <c r="AB67" i="1"/>
  <c r="AB66" i="1"/>
  <c r="AB64" i="1"/>
  <c r="AB63" i="1"/>
  <c r="AB62" i="1"/>
  <c r="AB61" i="1"/>
  <c r="AB60" i="1"/>
  <c r="AB41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V143" i="1"/>
  <c r="W165" i="1"/>
  <c r="N158" i="10"/>
  <c r="I158" i="10"/>
  <c r="D158" i="10"/>
  <c r="N105" i="10"/>
  <c r="I105" i="10"/>
  <c r="D105" i="10"/>
  <c r="N54" i="10"/>
  <c r="I54" i="10"/>
  <c r="D54" i="10"/>
  <c r="P25" i="3"/>
  <c r="O25" i="3"/>
  <c r="B157" i="1"/>
  <c r="N159" i="1"/>
  <c r="I159" i="1"/>
  <c r="D159" i="1"/>
  <c r="B103" i="1"/>
  <c r="B52" i="1"/>
  <c r="B4" i="3"/>
  <c r="B30" i="3"/>
  <c r="N32" i="3"/>
  <c r="I32" i="3"/>
  <c r="D32" i="3"/>
  <c r="N105" i="1"/>
  <c r="I105" i="1"/>
  <c r="D105" i="1"/>
  <c r="N54" i="1"/>
  <c r="I54" i="1"/>
  <c r="D54" i="1"/>
  <c r="T111" i="10"/>
  <c r="T111" i="1"/>
  <c r="B30" i="11"/>
  <c r="B103" i="10"/>
  <c r="B156" i="10"/>
</calcChain>
</file>

<file path=xl/sharedStrings.xml><?xml version="1.0" encoding="utf-8"?>
<sst xmlns="http://schemas.openxmlformats.org/spreadsheetml/2006/main" count="4493" uniqueCount="855">
  <si>
    <t>Customer Name</t>
  </si>
  <si>
    <t>Customer Ref</t>
  </si>
  <si>
    <t>Shipment Date</t>
  </si>
  <si>
    <t>Authorisation #</t>
  </si>
  <si>
    <t>Quotation #</t>
  </si>
  <si>
    <t>Number of bags</t>
  </si>
  <si>
    <t>Letters</t>
  </si>
  <si>
    <t>Flats</t>
  </si>
  <si>
    <t>Packets</t>
  </si>
  <si>
    <t>PRIORITY</t>
  </si>
  <si>
    <t>LETTERS</t>
  </si>
  <si>
    <t>BOXABLE/FLAT</t>
  </si>
  <si>
    <t>NON-BOXABLE/PACKET</t>
  </si>
  <si>
    <t>Priority</t>
  </si>
  <si>
    <t>Weight Band</t>
  </si>
  <si>
    <t>Route</t>
  </si>
  <si>
    <t>Total Items</t>
  </si>
  <si>
    <t>Total Weight</t>
  </si>
  <si>
    <t>AT</t>
  </si>
  <si>
    <t>Austria</t>
  </si>
  <si>
    <t>0-100g</t>
  </si>
  <si>
    <t>0-2000g</t>
  </si>
  <si>
    <t>BE</t>
  </si>
  <si>
    <t>Belgium</t>
  </si>
  <si>
    <t>HR</t>
  </si>
  <si>
    <t>Croatia</t>
  </si>
  <si>
    <t>CZ</t>
  </si>
  <si>
    <t>Czech Republic</t>
  </si>
  <si>
    <t>DK</t>
  </si>
  <si>
    <t>Denmark</t>
  </si>
  <si>
    <t>EE</t>
  </si>
  <si>
    <t>Estonia</t>
  </si>
  <si>
    <t>0-500g</t>
  </si>
  <si>
    <t>FI</t>
  </si>
  <si>
    <t>Finland</t>
  </si>
  <si>
    <t>FR</t>
  </si>
  <si>
    <t>France</t>
  </si>
  <si>
    <t>DE</t>
  </si>
  <si>
    <t>Germany</t>
  </si>
  <si>
    <t>GR</t>
  </si>
  <si>
    <t>Greece</t>
  </si>
  <si>
    <t>HU</t>
  </si>
  <si>
    <t>Hungary</t>
  </si>
  <si>
    <t>IS</t>
  </si>
  <si>
    <t>Iceland</t>
  </si>
  <si>
    <t>IE</t>
  </si>
  <si>
    <t>Ireland</t>
  </si>
  <si>
    <t>IT</t>
  </si>
  <si>
    <t>Italy</t>
  </si>
  <si>
    <t>LV</t>
  </si>
  <si>
    <t>Latvia</t>
  </si>
  <si>
    <t>LT</t>
  </si>
  <si>
    <t>Lithuania</t>
  </si>
  <si>
    <t>LU</t>
  </si>
  <si>
    <t>Luxembourg</t>
  </si>
  <si>
    <t>NL</t>
  </si>
  <si>
    <t>Netherlands</t>
  </si>
  <si>
    <t>NO</t>
  </si>
  <si>
    <t>Norway</t>
  </si>
  <si>
    <t>PL</t>
  </si>
  <si>
    <t>Poland</t>
  </si>
  <si>
    <t>PT</t>
  </si>
  <si>
    <t>Portugal</t>
  </si>
  <si>
    <t>RO</t>
  </si>
  <si>
    <t>Romania</t>
  </si>
  <si>
    <t>SK</t>
  </si>
  <si>
    <t>Slovakia</t>
  </si>
  <si>
    <t>SI</t>
  </si>
  <si>
    <t>Slovenia</t>
  </si>
  <si>
    <t>ES</t>
  </si>
  <si>
    <t>Spain</t>
  </si>
  <si>
    <t>SE</t>
  </si>
  <si>
    <t>Sweden</t>
  </si>
  <si>
    <t>CH</t>
  </si>
  <si>
    <t>EUROPE + ROW</t>
  </si>
  <si>
    <t>Item #</t>
  </si>
  <si>
    <t>Weight</t>
  </si>
  <si>
    <t>TOTAL</t>
  </si>
  <si>
    <t>FLAT</t>
  </si>
  <si>
    <t>PACKET</t>
  </si>
  <si>
    <t>Australia</t>
  </si>
  <si>
    <t>AU</t>
  </si>
  <si>
    <t>Brazil</t>
  </si>
  <si>
    <t>BR</t>
  </si>
  <si>
    <t>Canada</t>
  </si>
  <si>
    <t>CA</t>
  </si>
  <si>
    <t>China</t>
  </si>
  <si>
    <t>CN</t>
  </si>
  <si>
    <t>Hong Kong</t>
  </si>
  <si>
    <t>HK</t>
  </si>
  <si>
    <t>Israel</t>
  </si>
  <si>
    <t>IL</t>
  </si>
  <si>
    <t>Japan</t>
  </si>
  <si>
    <t>JP</t>
  </si>
  <si>
    <t>New Zealand</t>
  </si>
  <si>
    <t>NZ</t>
  </si>
  <si>
    <t>Russia</t>
  </si>
  <si>
    <t>RU</t>
  </si>
  <si>
    <t>Singapore</t>
  </si>
  <si>
    <t>SG</t>
  </si>
  <si>
    <t>South Korea</t>
  </si>
  <si>
    <t>KR</t>
  </si>
  <si>
    <t>Taiwan</t>
  </si>
  <si>
    <t>TW</t>
  </si>
  <si>
    <t>United States</t>
  </si>
  <si>
    <t>US</t>
  </si>
  <si>
    <t>Albania</t>
  </si>
  <si>
    <t>British Indian Ocean Territory</t>
  </si>
  <si>
    <t>AL</t>
  </si>
  <si>
    <t>IO</t>
  </si>
  <si>
    <t>Algeria</t>
  </si>
  <si>
    <t>Bulgaria</t>
  </si>
  <si>
    <t>DZ</t>
  </si>
  <si>
    <t>BG</t>
  </si>
  <si>
    <t>American Samoa</t>
  </si>
  <si>
    <t>Burkina Faso</t>
  </si>
  <si>
    <t>AS</t>
  </si>
  <si>
    <t>BF</t>
  </si>
  <si>
    <t>Angola</t>
  </si>
  <si>
    <t>Burundi</t>
  </si>
  <si>
    <t>AO</t>
  </si>
  <si>
    <t>BI</t>
  </si>
  <si>
    <t>Anguilla</t>
  </si>
  <si>
    <t>Cambodia</t>
  </si>
  <si>
    <t>AI</t>
  </si>
  <si>
    <t>KH</t>
  </si>
  <si>
    <t>Antarctica</t>
  </si>
  <si>
    <t>Cameroon</t>
  </si>
  <si>
    <t>AQ</t>
  </si>
  <si>
    <t>CM</t>
  </si>
  <si>
    <t>Antigua And Barbuda</t>
  </si>
  <si>
    <t>Cape Verde</t>
  </si>
  <si>
    <t>AG</t>
  </si>
  <si>
    <t>CV</t>
  </si>
  <si>
    <t>Argentina</t>
  </si>
  <si>
    <t>Cayman Islands</t>
  </si>
  <si>
    <t>AR</t>
  </si>
  <si>
    <t>KY</t>
  </si>
  <si>
    <t>Armenia</t>
  </si>
  <si>
    <t>Central African Republic</t>
  </si>
  <si>
    <t>AM</t>
  </si>
  <si>
    <t>CF</t>
  </si>
  <si>
    <t>Aruba</t>
  </si>
  <si>
    <t>Chad</t>
  </si>
  <si>
    <t>AW</t>
  </si>
  <si>
    <t>TD</t>
  </si>
  <si>
    <t>Azerbaijan</t>
  </si>
  <si>
    <t>Chile</t>
  </si>
  <si>
    <t>AZ</t>
  </si>
  <si>
    <t>CL</t>
  </si>
  <si>
    <t>Bahrain</t>
  </si>
  <si>
    <t>Christmas Island</t>
  </si>
  <si>
    <t>BH</t>
  </si>
  <si>
    <t>CX</t>
  </si>
  <si>
    <t>Barbados</t>
  </si>
  <si>
    <t>Cocos (Keeling) Islands</t>
  </si>
  <si>
    <t>BB</t>
  </si>
  <si>
    <t>CC</t>
  </si>
  <si>
    <t>Belarus</t>
  </si>
  <si>
    <t>Colombia</t>
  </si>
  <si>
    <t>BY</t>
  </si>
  <si>
    <t>CO</t>
  </si>
  <si>
    <t>Belize</t>
  </si>
  <si>
    <t>Comoros</t>
  </si>
  <si>
    <t>BZ</t>
  </si>
  <si>
    <t>KM</t>
  </si>
  <si>
    <t>Benin</t>
  </si>
  <si>
    <t>Congo</t>
  </si>
  <si>
    <t>BJ</t>
  </si>
  <si>
    <t>CG</t>
  </si>
  <si>
    <t>Bermuda</t>
  </si>
  <si>
    <t>Congo Dem</t>
  </si>
  <si>
    <t>BM</t>
  </si>
  <si>
    <t>CD</t>
  </si>
  <si>
    <t>Bhutan</t>
  </si>
  <si>
    <t>Cook Islands</t>
  </si>
  <si>
    <t>BT</t>
  </si>
  <si>
    <t>CK</t>
  </si>
  <si>
    <t>Bolivia</t>
  </si>
  <si>
    <t>Costa Rica</t>
  </si>
  <si>
    <t>BO</t>
  </si>
  <si>
    <t>CR</t>
  </si>
  <si>
    <t>Bosnia &amp; Herzegovina</t>
  </si>
  <si>
    <t>Cote D'Ivoire</t>
  </si>
  <si>
    <t>BA</t>
  </si>
  <si>
    <t>CI</t>
  </si>
  <si>
    <t>Bouvet Island</t>
  </si>
  <si>
    <t>BV</t>
  </si>
  <si>
    <t>Cyprus</t>
  </si>
  <si>
    <t>CY</t>
  </si>
  <si>
    <t>Djibouti</t>
  </si>
  <si>
    <t>Kuwait</t>
  </si>
  <si>
    <t>DJ</t>
  </si>
  <si>
    <t>KW</t>
  </si>
  <si>
    <t>Dominica</t>
  </si>
  <si>
    <t>Kyrgyzstan</t>
  </si>
  <si>
    <t>DM</t>
  </si>
  <si>
    <t>KG</t>
  </si>
  <si>
    <t>Dominican Republic</t>
  </si>
  <si>
    <t>Laos</t>
  </si>
  <si>
    <t>DO</t>
  </si>
  <si>
    <t>LA</t>
  </si>
  <si>
    <t>East Timor</t>
  </si>
  <si>
    <t>Lebanon</t>
  </si>
  <si>
    <t>TL</t>
  </si>
  <si>
    <t>LB</t>
  </si>
  <si>
    <t>Ecuador</t>
  </si>
  <si>
    <t>Lesotho</t>
  </si>
  <si>
    <t>EC</t>
  </si>
  <si>
    <t>LS</t>
  </si>
  <si>
    <t>Egypt</t>
  </si>
  <si>
    <t>Liberia</t>
  </si>
  <si>
    <t>EG</t>
  </si>
  <si>
    <t>LR</t>
  </si>
  <si>
    <t>El Salvador</t>
  </si>
  <si>
    <t>Libyan Arab Jamahiriya</t>
  </si>
  <si>
    <t>SV</t>
  </si>
  <si>
    <t>LY</t>
  </si>
  <si>
    <t>Equatorial Guinea</t>
  </si>
  <si>
    <t>Macao</t>
  </si>
  <si>
    <t>GQ</t>
  </si>
  <si>
    <t>MO</t>
  </si>
  <si>
    <t>Eritrea</t>
  </si>
  <si>
    <t>ER</t>
  </si>
  <si>
    <t>MK</t>
  </si>
  <si>
    <t>Ethiopia</t>
  </si>
  <si>
    <t>Madagascar</t>
  </si>
  <si>
    <t>ET</t>
  </si>
  <si>
    <t>MG</t>
  </si>
  <si>
    <t>Falkland Islands</t>
  </si>
  <si>
    <t>Malawi</t>
  </si>
  <si>
    <t>FK</t>
  </si>
  <si>
    <t>MW</t>
  </si>
  <si>
    <t>Fiji</t>
  </si>
  <si>
    <t>Malaysia</t>
  </si>
  <si>
    <t>FJ</t>
  </si>
  <si>
    <t>MY</t>
  </si>
  <si>
    <t>French Guiana</t>
  </si>
  <si>
    <t>Maldives</t>
  </si>
  <si>
    <t>GF</t>
  </si>
  <si>
    <t>MV</t>
  </si>
  <si>
    <t>French Polynesia</t>
  </si>
  <si>
    <t>Mali</t>
  </si>
  <si>
    <t>PF</t>
  </si>
  <si>
    <t>ML</t>
  </si>
  <si>
    <t>French Southern Terr</t>
  </si>
  <si>
    <t>Malta</t>
  </si>
  <si>
    <t>TF</t>
  </si>
  <si>
    <t>MT</t>
  </si>
  <si>
    <t>Gabon</t>
  </si>
  <si>
    <t>Marshall Islands</t>
  </si>
  <si>
    <t>GA</t>
  </si>
  <si>
    <t>MH</t>
  </si>
  <si>
    <t>Gambia</t>
  </si>
  <si>
    <t>Martinique</t>
  </si>
  <si>
    <t>GM</t>
  </si>
  <si>
    <t>MQ</t>
  </si>
  <si>
    <t>Georgia</t>
  </si>
  <si>
    <t>Mauritania</t>
  </si>
  <si>
    <t>GE</t>
  </si>
  <si>
    <t>MR</t>
  </si>
  <si>
    <t>Ghana</t>
  </si>
  <si>
    <t>Mauritius</t>
  </si>
  <si>
    <t>GH</t>
  </si>
  <si>
    <t>MU</t>
  </si>
  <si>
    <t>Gibraltar</t>
  </si>
  <si>
    <t>Mayotte</t>
  </si>
  <si>
    <t>GI</t>
  </si>
  <si>
    <t>YT</t>
  </si>
  <si>
    <t>Grenada</t>
  </si>
  <si>
    <t>Mexico</t>
  </si>
  <si>
    <t>GD</t>
  </si>
  <si>
    <t>MX</t>
  </si>
  <si>
    <t>Guadeloupe</t>
  </si>
  <si>
    <t>Micronesia</t>
  </si>
  <si>
    <t>GP</t>
  </si>
  <si>
    <t>FM</t>
  </si>
  <si>
    <t>Guam</t>
  </si>
  <si>
    <t>Moldova Republic Of</t>
  </si>
  <si>
    <t>GU</t>
  </si>
  <si>
    <t>MD</t>
  </si>
  <si>
    <t>Guatemala</t>
  </si>
  <si>
    <t>Mongolia</t>
  </si>
  <si>
    <t>GT</t>
  </si>
  <si>
    <t>MN</t>
  </si>
  <si>
    <t>Guinea</t>
  </si>
  <si>
    <t>Montenegro</t>
  </si>
  <si>
    <t>GN</t>
  </si>
  <si>
    <t>ME</t>
  </si>
  <si>
    <t>Guinea-Bissau</t>
  </si>
  <si>
    <t>Montserrat</t>
  </si>
  <si>
    <t>GW</t>
  </si>
  <si>
    <t>MS</t>
  </si>
  <si>
    <t>Guyana</t>
  </si>
  <si>
    <t>Morocco</t>
  </si>
  <si>
    <t>GY</t>
  </si>
  <si>
    <t>MA</t>
  </si>
  <si>
    <t>Haiti</t>
  </si>
  <si>
    <t>Mozambique</t>
  </si>
  <si>
    <t>HT</t>
  </si>
  <si>
    <t>MZ</t>
  </si>
  <si>
    <t>Heard Island</t>
  </si>
  <si>
    <t>Myanmar</t>
  </si>
  <si>
    <t>HM</t>
  </si>
  <si>
    <t>MM</t>
  </si>
  <si>
    <t>Honduras</t>
  </si>
  <si>
    <t>Namibia</t>
  </si>
  <si>
    <t>HN</t>
  </si>
  <si>
    <t>NA</t>
  </si>
  <si>
    <t>India</t>
  </si>
  <si>
    <t>Nauru</t>
  </si>
  <si>
    <t>IN</t>
  </si>
  <si>
    <t>NR</t>
  </si>
  <si>
    <t>Indonesia</t>
  </si>
  <si>
    <t>Nepal</t>
  </si>
  <si>
    <t>ID</t>
  </si>
  <si>
    <t>NP</t>
  </si>
  <si>
    <t>Netherlands Antilles</t>
  </si>
  <si>
    <t>Iraq</t>
  </si>
  <si>
    <t>New Caledonia</t>
  </si>
  <si>
    <t>IQ</t>
  </si>
  <si>
    <t>NC</t>
  </si>
  <si>
    <t>Jamaica</t>
  </si>
  <si>
    <t>Nicaragua</t>
  </si>
  <si>
    <t>JM</t>
  </si>
  <si>
    <t>NI</t>
  </si>
  <si>
    <t>Jordan</t>
  </si>
  <si>
    <t>Niger</t>
  </si>
  <si>
    <t>JO</t>
  </si>
  <si>
    <t>NE</t>
  </si>
  <si>
    <t>Kazakhstan</t>
  </si>
  <si>
    <t>Nigeria</t>
  </si>
  <si>
    <t>KZ</t>
  </si>
  <si>
    <t>NG</t>
  </si>
  <si>
    <t>Kiribati</t>
  </si>
  <si>
    <t>Niue</t>
  </si>
  <si>
    <t>KI</t>
  </si>
  <si>
    <t>NU</t>
  </si>
  <si>
    <t>Norfolk Island</t>
  </si>
  <si>
    <t>NF</t>
  </si>
  <si>
    <t>Northern Mariana Is</t>
  </si>
  <si>
    <t>Suriname</t>
  </si>
  <si>
    <t>MP</t>
  </si>
  <si>
    <t>SR</t>
  </si>
  <si>
    <t>Oman</t>
  </si>
  <si>
    <t>OM</t>
  </si>
  <si>
    <t>SJ</t>
  </si>
  <si>
    <t>Pakistan</t>
  </si>
  <si>
    <t>Swaziland</t>
  </si>
  <si>
    <t>PK</t>
  </si>
  <si>
    <t>SZ</t>
  </si>
  <si>
    <t>Palau</t>
  </si>
  <si>
    <t>PW</t>
  </si>
  <si>
    <t>Palestinian Territory</t>
  </si>
  <si>
    <t>Tajikistan</t>
  </si>
  <si>
    <t>PS</t>
  </si>
  <si>
    <t>TJ</t>
  </si>
  <si>
    <t>Panama</t>
  </si>
  <si>
    <t>Tanzania</t>
  </si>
  <si>
    <t>PA</t>
  </si>
  <si>
    <t>TZ</t>
  </si>
  <si>
    <t>Papua New Guinea</t>
  </si>
  <si>
    <t>Thailand</t>
  </si>
  <si>
    <t>PG</t>
  </si>
  <si>
    <t>TH</t>
  </si>
  <si>
    <t>Paraguay</t>
  </si>
  <si>
    <t>Togo</t>
  </si>
  <si>
    <t>PY</t>
  </si>
  <si>
    <t>TG</t>
  </si>
  <si>
    <t>Peru</t>
  </si>
  <si>
    <t>Tokelau</t>
  </si>
  <si>
    <t>PE</t>
  </si>
  <si>
    <t>TK</t>
  </si>
  <si>
    <t>Philippines</t>
  </si>
  <si>
    <t>Tonga</t>
  </si>
  <si>
    <t>PH</t>
  </si>
  <si>
    <t>TO</t>
  </si>
  <si>
    <t>Pitcairn</t>
  </si>
  <si>
    <t>Trinidad And Tobago</t>
  </si>
  <si>
    <t>PN</t>
  </si>
  <si>
    <t>TT</t>
  </si>
  <si>
    <t>Puerto Rico</t>
  </si>
  <si>
    <t>Tunisia</t>
  </si>
  <si>
    <t>PR</t>
  </si>
  <si>
    <t>TN</t>
  </si>
  <si>
    <t>Qatar</t>
  </si>
  <si>
    <t>Turkey</t>
  </si>
  <si>
    <t>QA</t>
  </si>
  <si>
    <t>TR</t>
  </si>
  <si>
    <t>Reunion</t>
  </si>
  <si>
    <t>Turkmenistan</t>
  </si>
  <si>
    <t>RE</t>
  </si>
  <si>
    <t>TM</t>
  </si>
  <si>
    <t>Rwanda</t>
  </si>
  <si>
    <t>RW</t>
  </si>
  <si>
    <t>TC</t>
  </si>
  <si>
    <t>Saint Barthelemy</t>
  </si>
  <si>
    <t>Tuvalu</t>
  </si>
  <si>
    <t>BL</t>
  </si>
  <si>
    <t>TV</t>
  </si>
  <si>
    <t>Saint Helena</t>
  </si>
  <si>
    <t>Uganda</t>
  </si>
  <si>
    <t>SH</t>
  </si>
  <si>
    <t>UG</t>
  </si>
  <si>
    <t>Saint Kitts And Nevis</t>
  </si>
  <si>
    <t>Ukraine</t>
  </si>
  <si>
    <t>KN</t>
  </si>
  <si>
    <t>UA</t>
  </si>
  <si>
    <t>Saint Lucia</t>
  </si>
  <si>
    <t>United Arab Emirates</t>
  </si>
  <si>
    <t>LC</t>
  </si>
  <si>
    <t>AE</t>
  </si>
  <si>
    <t>Saint Martin</t>
  </si>
  <si>
    <t>Uruguay</t>
  </si>
  <si>
    <t>MF</t>
  </si>
  <si>
    <t>UY</t>
  </si>
  <si>
    <t>Saint Pierre</t>
  </si>
  <si>
    <t>Uzbekistan</t>
  </si>
  <si>
    <t>PM</t>
  </si>
  <si>
    <t>UZ</t>
  </si>
  <si>
    <t>Saint Vincent</t>
  </si>
  <si>
    <t>Vanuatu</t>
  </si>
  <si>
    <t>VC</t>
  </si>
  <si>
    <t>VU</t>
  </si>
  <si>
    <t>Samoa</t>
  </si>
  <si>
    <t>Vatican City</t>
  </si>
  <si>
    <t>WS</t>
  </si>
  <si>
    <t>Sao Tome And Principe</t>
  </si>
  <si>
    <t>Venezuela</t>
  </si>
  <si>
    <t>ST</t>
  </si>
  <si>
    <t>Saudi Arabia</t>
  </si>
  <si>
    <t>Vietnam</t>
  </si>
  <si>
    <t>SA</t>
  </si>
  <si>
    <t>Senegal</t>
  </si>
  <si>
    <t>Virgin Islands American</t>
  </si>
  <si>
    <t>SN</t>
  </si>
  <si>
    <t>Serbia</t>
  </si>
  <si>
    <t>Virgin Islands British</t>
  </si>
  <si>
    <t>RS</t>
  </si>
  <si>
    <t>Seychelles</t>
  </si>
  <si>
    <t>SC</t>
  </si>
  <si>
    <t>Sierra Leone</t>
  </si>
  <si>
    <t>Western Sahara</t>
  </si>
  <si>
    <t>SL</t>
  </si>
  <si>
    <t>Solomon Islands</t>
  </si>
  <si>
    <t>Yemen</t>
  </si>
  <si>
    <t>SB</t>
  </si>
  <si>
    <t>Zambia</t>
  </si>
  <si>
    <t>South Africa</t>
  </si>
  <si>
    <t>Zimbabwe</t>
  </si>
  <si>
    <t>ZA</t>
  </si>
  <si>
    <t>South Georgia</t>
  </si>
  <si>
    <t>GS</t>
  </si>
  <si>
    <t>ZZZZ</t>
  </si>
  <si>
    <t>Sri Lanka</t>
  </si>
  <si>
    <t>LK</t>
  </si>
  <si>
    <t>NON-PRIORITY</t>
  </si>
  <si>
    <t>Under 5kg</t>
  </si>
  <si>
    <t>Over 5kg</t>
  </si>
  <si>
    <t>2-5 KG</t>
  </si>
  <si>
    <t>5-25 KG</t>
  </si>
  <si>
    <t>Switzerland</t>
  </si>
  <si>
    <t>UK (1st Class)</t>
  </si>
  <si>
    <t>Royal Mail</t>
  </si>
  <si>
    <t>Work Required</t>
  </si>
  <si>
    <t>Sortation</t>
  </si>
  <si>
    <t>Franking</t>
  </si>
  <si>
    <t>Other (state)</t>
  </si>
  <si>
    <t>Office Check</t>
  </si>
  <si>
    <t>Afghanistan</t>
  </si>
  <si>
    <t>Andorra</t>
  </si>
  <si>
    <t>Bahamas</t>
  </si>
  <si>
    <t>Botswana</t>
  </si>
  <si>
    <t>Brunei Darussalam</t>
  </si>
  <si>
    <t>Cuba</t>
  </si>
  <si>
    <t>Faroe Islands</t>
  </si>
  <si>
    <t>Greenland</t>
  </si>
  <si>
    <t>Kenya</t>
  </si>
  <si>
    <t>Liechtenstein</t>
  </si>
  <si>
    <t>San Marino</t>
  </si>
  <si>
    <t>Somalia</t>
  </si>
  <si>
    <t>Sudan</t>
  </si>
  <si>
    <t>Turks and Caicos Islands</t>
  </si>
  <si>
    <t>UK</t>
  </si>
  <si>
    <t>Bangladesh</t>
  </si>
  <si>
    <r>
      <rPr>
        <b/>
        <sz val="14"/>
        <color rgb="FF1A171B"/>
        <rFont val="Arial"/>
        <family val="2"/>
      </rPr>
      <t xml:space="preserve">Preparation Level </t>
    </r>
    <r>
      <rPr>
        <b/>
        <sz val="8"/>
        <color rgb="FF1A171B"/>
        <rFont val="Arial"/>
        <family val="2"/>
      </rPr>
      <t>(Please enter X)</t>
    </r>
  </si>
  <si>
    <r>
      <rPr>
        <b/>
        <sz val="14"/>
        <color rgb="FF1A171B"/>
        <rFont val="Arial"/>
        <family val="2"/>
      </rPr>
      <t xml:space="preserve">Franking  Level </t>
    </r>
    <r>
      <rPr>
        <b/>
        <sz val="8"/>
        <color rgb="FF1A171B"/>
        <rFont val="Arial"/>
        <family val="2"/>
      </rPr>
      <t>(Please enter X)</t>
    </r>
  </si>
  <si>
    <t>Fully Prepared</t>
  </si>
  <si>
    <t>x</t>
  </si>
  <si>
    <t>Part Prepared</t>
  </si>
  <si>
    <t>Full PPI</t>
  </si>
  <si>
    <t>Part PPI</t>
  </si>
  <si>
    <t>Note: Surcharges will apply for any Part Prepared/Part Franked volumes received</t>
  </si>
  <si>
    <t>SO</t>
  </si>
  <si>
    <t>AF</t>
  </si>
  <si>
    <t>Country</t>
  </si>
  <si>
    <t>Alpha-2 code</t>
  </si>
  <si>
    <t>Alpha-3 code</t>
  </si>
  <si>
    <t>Numeric</t>
  </si>
  <si>
    <t>AFG</t>
  </si>
  <si>
    <t>ALB</t>
  </si>
  <si>
    <t>DZA</t>
  </si>
  <si>
    <t>ASM</t>
  </si>
  <si>
    <t>AD</t>
  </si>
  <si>
    <t>AND</t>
  </si>
  <si>
    <t>AGO</t>
  </si>
  <si>
    <t>AIA</t>
  </si>
  <si>
    <t>ATA</t>
  </si>
  <si>
    <t>Antigua and Barbuda</t>
  </si>
  <si>
    <t>ATG</t>
  </si>
  <si>
    <t>ARG</t>
  </si>
  <si>
    <t>ARM</t>
  </si>
  <si>
    <t>ABW</t>
  </si>
  <si>
    <t>AUS</t>
  </si>
  <si>
    <t>AUT</t>
  </si>
  <si>
    <t>AZE</t>
  </si>
  <si>
    <t>BS</t>
  </si>
  <si>
    <t>BHS</t>
  </si>
  <si>
    <t>BHR</t>
  </si>
  <si>
    <t>BD</t>
  </si>
  <si>
    <t>BGD</t>
  </si>
  <si>
    <t>BRB</t>
  </si>
  <si>
    <t>BLR</t>
  </si>
  <si>
    <t>BEL</t>
  </si>
  <si>
    <t>BLZ</t>
  </si>
  <si>
    <t>BEN</t>
  </si>
  <si>
    <t>BMU</t>
  </si>
  <si>
    <t>BTN</t>
  </si>
  <si>
    <t>BOL</t>
  </si>
  <si>
    <t>Bonaire, Sint Eustatius and Saba</t>
  </si>
  <si>
    <t>BQ</t>
  </si>
  <si>
    <t>BES</t>
  </si>
  <si>
    <t>BIH</t>
  </si>
  <si>
    <t>BW</t>
  </si>
  <si>
    <t>BWA</t>
  </si>
  <si>
    <t>BVT</t>
  </si>
  <si>
    <t>BRA</t>
  </si>
  <si>
    <t>IOT</t>
  </si>
  <si>
    <t>BN</t>
  </si>
  <si>
    <t>BRN</t>
  </si>
  <si>
    <t>BGR</t>
  </si>
  <si>
    <t>BFA</t>
  </si>
  <si>
    <t>BDI</t>
  </si>
  <si>
    <t>CPV</t>
  </si>
  <si>
    <t>KHM</t>
  </si>
  <si>
    <t>CMR</t>
  </si>
  <si>
    <t>CAN</t>
  </si>
  <si>
    <t>CYM</t>
  </si>
  <si>
    <t>CAF</t>
  </si>
  <si>
    <t>TCD</t>
  </si>
  <si>
    <t>CHL</t>
  </si>
  <si>
    <t>CHN</t>
  </si>
  <si>
    <t>CXR</t>
  </si>
  <si>
    <t>CCK</t>
  </si>
  <si>
    <t>COL</t>
  </si>
  <si>
    <t>COM</t>
  </si>
  <si>
    <t>COD</t>
  </si>
  <si>
    <t>COG</t>
  </si>
  <si>
    <t>COK</t>
  </si>
  <si>
    <t>CRI</t>
  </si>
  <si>
    <t>HRV</t>
  </si>
  <si>
    <t>CU</t>
  </si>
  <si>
    <t>CUB</t>
  </si>
  <si>
    <t>Curaçao</t>
  </si>
  <si>
    <t>CW</t>
  </si>
  <si>
    <t>CUW</t>
  </si>
  <si>
    <t>CYP</t>
  </si>
  <si>
    <t>Czechia</t>
  </si>
  <si>
    <t>CZE</t>
  </si>
  <si>
    <t>CIV</t>
  </si>
  <si>
    <t>DNK</t>
  </si>
  <si>
    <t>DJI</t>
  </si>
  <si>
    <t>DMA</t>
  </si>
  <si>
    <t>DOM</t>
  </si>
  <si>
    <t>ECU</t>
  </si>
  <si>
    <t>EGY</t>
  </si>
  <si>
    <t>SLV</t>
  </si>
  <si>
    <t>GNQ</t>
  </si>
  <si>
    <t>ERI</t>
  </si>
  <si>
    <t>EST</t>
  </si>
  <si>
    <t>SWZ</t>
  </si>
  <si>
    <t>ETH</t>
  </si>
  <si>
    <t>FLK</t>
  </si>
  <si>
    <t>FO</t>
  </si>
  <si>
    <t>FRO</t>
  </si>
  <si>
    <t>FJI</t>
  </si>
  <si>
    <t>FIN</t>
  </si>
  <si>
    <t>FRA</t>
  </si>
  <si>
    <t>GUF</t>
  </si>
  <si>
    <t>PYF</t>
  </si>
  <si>
    <t>ATF</t>
  </si>
  <si>
    <t>GAB</t>
  </si>
  <si>
    <t>GMB</t>
  </si>
  <si>
    <t>GEO</t>
  </si>
  <si>
    <t>DEU</t>
  </si>
  <si>
    <t>GHA</t>
  </si>
  <si>
    <t>GIB</t>
  </si>
  <si>
    <t>GRC</t>
  </si>
  <si>
    <t>GL</t>
  </si>
  <si>
    <t>GRL</t>
  </si>
  <si>
    <t>GRD</t>
  </si>
  <si>
    <t>GLP</t>
  </si>
  <si>
    <t>GUM</t>
  </si>
  <si>
    <t>GTM</t>
  </si>
  <si>
    <t>Guernsey</t>
  </si>
  <si>
    <t>GG</t>
  </si>
  <si>
    <t>GGY</t>
  </si>
  <si>
    <t>GIN</t>
  </si>
  <si>
    <t>GNB</t>
  </si>
  <si>
    <t>GUY</t>
  </si>
  <si>
    <t>HTI</t>
  </si>
  <si>
    <t>HMD</t>
  </si>
  <si>
    <t>VA</t>
  </si>
  <si>
    <t>VAT</t>
  </si>
  <si>
    <t>HND</t>
  </si>
  <si>
    <t>HKG</t>
  </si>
  <si>
    <t>HUN</t>
  </si>
  <si>
    <t>ISL</t>
  </si>
  <si>
    <t>IND</t>
  </si>
  <si>
    <t>IDN</t>
  </si>
  <si>
    <t>Iran (Islamic Republic of)</t>
  </si>
  <si>
    <t>IR</t>
  </si>
  <si>
    <t>IRN</t>
  </si>
  <si>
    <t>IRQ</t>
  </si>
  <si>
    <t>IRL</t>
  </si>
  <si>
    <t>Isle of Man</t>
  </si>
  <si>
    <t>IM</t>
  </si>
  <si>
    <t>IMN</t>
  </si>
  <si>
    <t>ISR</t>
  </si>
  <si>
    <t>ITA</t>
  </si>
  <si>
    <t>JAM</t>
  </si>
  <si>
    <t>JPN</t>
  </si>
  <si>
    <t>Jersey</t>
  </si>
  <si>
    <t>JE</t>
  </si>
  <si>
    <t>JEY</t>
  </si>
  <si>
    <t>JOR</t>
  </si>
  <si>
    <t>KAZ</t>
  </si>
  <si>
    <t>KE</t>
  </si>
  <si>
    <t>KEN</t>
  </si>
  <si>
    <t>KIR</t>
  </si>
  <si>
    <t>Korea (the Democratic People's Republic of)</t>
  </si>
  <si>
    <t>KP</t>
  </si>
  <si>
    <t>PRK</t>
  </si>
  <si>
    <t>KOR</t>
  </si>
  <si>
    <t>KWT</t>
  </si>
  <si>
    <t>KGZ</t>
  </si>
  <si>
    <t>LAO</t>
  </si>
  <si>
    <t>LVA</t>
  </si>
  <si>
    <t>LBN</t>
  </si>
  <si>
    <t>LSO</t>
  </si>
  <si>
    <t>LBR</t>
  </si>
  <si>
    <t>LBY</t>
  </si>
  <si>
    <t>LI</t>
  </si>
  <si>
    <t>LIE</t>
  </si>
  <si>
    <t>LTU</t>
  </si>
  <si>
    <t>LUX</t>
  </si>
  <si>
    <t>MAC</t>
  </si>
  <si>
    <t>MDG</t>
  </si>
  <si>
    <t>MWI</t>
  </si>
  <si>
    <t>MYS</t>
  </si>
  <si>
    <t>MDV</t>
  </si>
  <si>
    <t>MLI</t>
  </si>
  <si>
    <t>MLT</t>
  </si>
  <si>
    <t>MHL</t>
  </si>
  <si>
    <t>MTQ</t>
  </si>
  <si>
    <t>MRT</t>
  </si>
  <si>
    <t>MUS</t>
  </si>
  <si>
    <t>MYT</t>
  </si>
  <si>
    <t>MEX</t>
  </si>
  <si>
    <t>FSM</t>
  </si>
  <si>
    <t>MDA</t>
  </si>
  <si>
    <t>Monaco</t>
  </si>
  <si>
    <t>MC</t>
  </si>
  <si>
    <t>MCO</t>
  </si>
  <si>
    <t>MNG</t>
  </si>
  <si>
    <t>MNE</t>
  </si>
  <si>
    <t>MSR</t>
  </si>
  <si>
    <t>MAR</t>
  </si>
  <si>
    <t>MOZ</t>
  </si>
  <si>
    <t>MMR</t>
  </si>
  <si>
    <t>NAM</t>
  </si>
  <si>
    <t>NRU</t>
  </si>
  <si>
    <t>NPL</t>
  </si>
  <si>
    <t>NLD</t>
  </si>
  <si>
    <t>NCL</t>
  </si>
  <si>
    <t>NZL</t>
  </si>
  <si>
    <t>NIC</t>
  </si>
  <si>
    <t>NER</t>
  </si>
  <si>
    <t>NGA</t>
  </si>
  <si>
    <t>NIU</t>
  </si>
  <si>
    <t>NFK</t>
  </si>
  <si>
    <t>MNP</t>
  </si>
  <si>
    <t>NOR</t>
  </si>
  <si>
    <t>OMN</t>
  </si>
  <si>
    <t>PAK</t>
  </si>
  <si>
    <t>PLW</t>
  </si>
  <si>
    <t>PSE</t>
  </si>
  <si>
    <t>PAN</t>
  </si>
  <si>
    <t>PNG</t>
  </si>
  <si>
    <t>PRY</t>
  </si>
  <si>
    <t>PER</t>
  </si>
  <si>
    <t>PHL</t>
  </si>
  <si>
    <t>PCN</t>
  </si>
  <si>
    <t>POL</t>
  </si>
  <si>
    <t>PRT</t>
  </si>
  <si>
    <t>PRI</t>
  </si>
  <si>
    <t>QAT</t>
  </si>
  <si>
    <t>MKD</t>
  </si>
  <si>
    <t>ROU</t>
  </si>
  <si>
    <t>RUS</t>
  </si>
  <si>
    <t>RWA</t>
  </si>
  <si>
    <t>REU</t>
  </si>
  <si>
    <t>BLM</t>
  </si>
  <si>
    <t>SHN</t>
  </si>
  <si>
    <t>Saint Kitts and Nevis</t>
  </si>
  <si>
    <t>KNA</t>
  </si>
  <si>
    <t>LCA</t>
  </si>
  <si>
    <t>MAF</t>
  </si>
  <si>
    <t>SPM</t>
  </si>
  <si>
    <t>VCT</t>
  </si>
  <si>
    <t>WSM</t>
  </si>
  <si>
    <t>SM</t>
  </si>
  <si>
    <t>SMR</t>
  </si>
  <si>
    <t>Sao Tome and Principe</t>
  </si>
  <si>
    <t>STP</t>
  </si>
  <si>
    <t>SAU</t>
  </si>
  <si>
    <t>SEN</t>
  </si>
  <si>
    <t>SRB</t>
  </si>
  <si>
    <t>SYC</t>
  </si>
  <si>
    <t>SLE</t>
  </si>
  <si>
    <t>SGP</t>
  </si>
  <si>
    <t>Sint Maarten (Dutch part)</t>
  </si>
  <si>
    <t>SX</t>
  </si>
  <si>
    <t>SXM</t>
  </si>
  <si>
    <t>SVK</t>
  </si>
  <si>
    <t>SVN</t>
  </si>
  <si>
    <t>SLB</t>
  </si>
  <si>
    <t>SOM</t>
  </si>
  <si>
    <t>ZAF</t>
  </si>
  <si>
    <t>SGS</t>
  </si>
  <si>
    <t>South Sudan</t>
  </si>
  <si>
    <t>SS</t>
  </si>
  <si>
    <t>SSD</t>
  </si>
  <si>
    <t>ESP</t>
  </si>
  <si>
    <t>LKA</t>
  </si>
  <si>
    <t>SD</t>
  </si>
  <si>
    <t>SDN</t>
  </si>
  <si>
    <t>SUR</t>
  </si>
  <si>
    <t>Svalbard and Jan Mayen</t>
  </si>
  <si>
    <t>SJM</t>
  </si>
  <si>
    <t>SWE</t>
  </si>
  <si>
    <t>CHE</t>
  </si>
  <si>
    <t>Syrian Arab Republic</t>
  </si>
  <si>
    <t>SY</t>
  </si>
  <si>
    <t>SYR</t>
  </si>
  <si>
    <t>TWN</t>
  </si>
  <si>
    <t>TJK</t>
  </si>
  <si>
    <t>TZA</t>
  </si>
  <si>
    <t>THA</t>
  </si>
  <si>
    <t>TLS</t>
  </si>
  <si>
    <t>TGO</t>
  </si>
  <si>
    <t>TKL</t>
  </si>
  <si>
    <t>TON</t>
  </si>
  <si>
    <t>Trinidad and Tobago</t>
  </si>
  <si>
    <t>TTO</t>
  </si>
  <si>
    <t>TUN</t>
  </si>
  <si>
    <t>TUR</t>
  </si>
  <si>
    <t>TKM</t>
  </si>
  <si>
    <t>TCA</t>
  </si>
  <si>
    <t>TUV</t>
  </si>
  <si>
    <t>UGA</t>
  </si>
  <si>
    <t>UKR</t>
  </si>
  <si>
    <t>ARE</t>
  </si>
  <si>
    <t>GB</t>
  </si>
  <si>
    <t>GBR</t>
  </si>
  <si>
    <t>UM</t>
  </si>
  <si>
    <t>UMI</t>
  </si>
  <si>
    <t>USA</t>
  </si>
  <si>
    <t>URY</t>
  </si>
  <si>
    <t>UZB</t>
  </si>
  <si>
    <t>VUT</t>
  </si>
  <si>
    <t>VE</t>
  </si>
  <si>
    <t>VEN</t>
  </si>
  <si>
    <t>VN</t>
  </si>
  <si>
    <t>VNM</t>
  </si>
  <si>
    <t>VG</t>
  </si>
  <si>
    <t>VGB</t>
  </si>
  <si>
    <t>VI</t>
  </si>
  <si>
    <t>VIR</t>
  </si>
  <si>
    <t>Wallis and Futuna</t>
  </si>
  <si>
    <t>WF</t>
  </si>
  <si>
    <t>WLF</t>
  </si>
  <si>
    <t>EH</t>
  </si>
  <si>
    <t>ESH</t>
  </si>
  <si>
    <t>YE</t>
  </si>
  <si>
    <t>YEM</t>
  </si>
  <si>
    <t>ZM</t>
  </si>
  <si>
    <t>ZMB</t>
  </si>
  <si>
    <t>ZW</t>
  </si>
  <si>
    <t>ZWE</t>
  </si>
  <si>
    <t>Åland Islands</t>
  </si>
  <si>
    <t>AX</t>
  </si>
  <si>
    <t>ALA</t>
  </si>
  <si>
    <t>Holy See</t>
  </si>
  <si>
    <t>United Kingdom of Great Britain and Northern Ireland</t>
  </si>
  <si>
    <t>United States Minor Outlying Islands</t>
  </si>
  <si>
    <t>Cote d'Ivoire</t>
  </si>
  <si>
    <t>Macedonia (fyr)</t>
  </si>
  <si>
    <t>Moldova Republic of</t>
  </si>
  <si>
    <t>Master Country List</t>
  </si>
  <si>
    <t>British Indian Ocn Terr</t>
  </si>
  <si>
    <t>Central African Rep</t>
  </si>
  <si>
    <t>Libya</t>
  </si>
  <si>
    <t>Macedonia</t>
  </si>
  <si>
    <t>Svalbard &amp; Jan Mayen</t>
  </si>
  <si>
    <t>La Poste</t>
  </si>
  <si>
    <t>Swiss Post</t>
  </si>
  <si>
    <t>Non-Priority</t>
  </si>
  <si>
    <t>N/A</t>
  </si>
  <si>
    <r>
      <t>Asendia UK</t>
    </r>
    <r>
      <rPr>
        <b/>
        <sz val="22"/>
        <color rgb="FF44848E"/>
        <rFont val="Arial"/>
        <family val="2"/>
      </rPr>
      <t xml:space="preserve"> Business Mail</t>
    </r>
  </si>
  <si>
    <r>
      <rPr>
        <b/>
        <sz val="14"/>
        <color rgb="FF5F6A72"/>
        <rFont val="Arial"/>
        <family val="2"/>
      </rPr>
      <t xml:space="preserve">Preparation Level </t>
    </r>
    <r>
      <rPr>
        <b/>
        <sz val="8"/>
        <color rgb="FF5F6A72"/>
        <rFont val="Arial"/>
        <family val="2"/>
      </rPr>
      <t>(Please enter X)</t>
    </r>
  </si>
  <si>
    <r>
      <rPr>
        <b/>
        <sz val="14"/>
        <color rgb="FF5F6A72"/>
        <rFont val="Arial"/>
        <family val="2"/>
      </rPr>
      <t xml:space="preserve">Franking  Level </t>
    </r>
    <r>
      <rPr>
        <b/>
        <sz val="8"/>
        <color rgb="FF5F6A72"/>
        <rFont val="Arial"/>
        <family val="2"/>
      </rPr>
      <t>(Please enter X)</t>
    </r>
  </si>
  <si>
    <t>Valid from 1st January 2025</t>
  </si>
  <si>
    <t>Bolivia, Plurinational State of</t>
  </si>
  <si>
    <t>Bosnia and Herzegovina</t>
  </si>
  <si>
    <t>Canary Islands</t>
  </si>
  <si>
    <t>Timor-Leste</t>
  </si>
  <si>
    <t>Korea, Republic of</t>
  </si>
  <si>
    <t>Taiwan, Province of China</t>
  </si>
  <si>
    <t>Democratic Republic of Congo</t>
  </si>
  <si>
    <t>Côte d'Ivoire</t>
  </si>
  <si>
    <t>Falkland Islands (Malvinas)</t>
  </si>
  <si>
    <t>French Southern Territories</t>
  </si>
  <si>
    <t>Heard Island and McDonald Islands</t>
  </si>
  <si>
    <t>Lao People's Democratic Republic</t>
  </si>
  <si>
    <t>North Macedonia</t>
  </si>
  <si>
    <t>Micronesia, Federated States of</t>
  </si>
  <si>
    <t>Moldova, Republic of</t>
  </si>
  <si>
    <t>Northern Mariana Islands</t>
  </si>
  <si>
    <t>Palestine, State of</t>
  </si>
  <si>
    <t>Réunion</t>
  </si>
  <si>
    <t>Saint Helena, Ascension and Tristan da Cunha</t>
  </si>
  <si>
    <t>Saint Martin (French part)</t>
  </si>
  <si>
    <t>Saint Pierre and Miquelon</t>
  </si>
  <si>
    <t>Saint Vincent and the Grenadines</t>
  </si>
  <si>
    <t>Eswatini</t>
  </si>
  <si>
    <t>Tanzania, United Republic of</t>
  </si>
  <si>
    <t>Venezuela, Bolivarian Republic of</t>
  </si>
  <si>
    <t>Viet Nam</t>
  </si>
  <si>
    <t>Virgin Islands, British</t>
  </si>
  <si>
    <t>Kosovo</t>
  </si>
  <si>
    <t>0-5000g</t>
  </si>
  <si>
    <t>Citipost Ltd</t>
  </si>
  <si>
    <t>1</t>
  </si>
  <si>
    <t>Citipost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</si>
</sst>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&quot;£&quot;#,##0.000"/>
    <numFmt numFmtId="165" formatCode="#,##0.000\ &quot;kg&quot;"/>
    <numFmt numFmtId="166" formatCode="0.00\ &quot;kg&quot;"/>
    <numFmt numFmtId="167" formatCode="&quot;£&quot;#,##0.00"/>
    <numFmt numFmtId="168" formatCode="_-* #,##0_-;\-* #,##0_-;_-* &quot;-&quot;??_-;_-@_-"/>
    <numFmt numFmtId="169" formatCode="#,##0.000&quot; kg&quot;"/>
  </numFmts>
  <fonts count="6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Arial"/>
      <family val="2"/>
    </font>
    <font>
      <sz val="6"/>
      <color theme="0"/>
      <name val="Arial"/>
      <family val="2"/>
    </font>
    <font>
      <sz val="11"/>
      <color rgb="FF00759B"/>
      <name val="Arial"/>
      <family val="2"/>
    </font>
    <font>
      <sz val="8"/>
      <color rgb="FF00759B"/>
      <name val="Arial"/>
      <family val="2"/>
    </font>
    <font>
      <sz val="20"/>
      <color rgb="FF00759B"/>
      <name val="Arial"/>
      <family val="2"/>
    </font>
    <font>
      <b/>
      <sz val="22"/>
      <color rgb="FF1A171B"/>
      <name val="Arial"/>
      <family val="2"/>
    </font>
    <font>
      <b/>
      <sz val="22"/>
      <color rgb="FF00759B"/>
      <name val="Arial"/>
      <family val="2"/>
    </font>
    <font>
      <i/>
      <sz val="10"/>
      <color rgb="FF1A171B"/>
      <name val="Arial"/>
      <family val="2"/>
    </font>
    <font>
      <i/>
      <sz val="10"/>
      <color rgb="FF00759B"/>
      <name val="Arial"/>
      <family val="2"/>
    </font>
    <font>
      <b/>
      <sz val="9"/>
      <color rgb="FF1A171B"/>
      <name val="Arial"/>
      <family val="2"/>
    </font>
    <font>
      <sz val="10"/>
      <color indexed="8"/>
      <name val="Arial"/>
      <family val="2"/>
    </font>
    <font>
      <sz val="9"/>
      <color rgb="FF1A171B"/>
      <name val="Arial"/>
      <family val="2"/>
    </font>
    <font>
      <sz val="8"/>
      <color rgb="FF1A171B"/>
      <name val="Arial"/>
      <family val="2"/>
    </font>
    <font>
      <sz val="10"/>
      <color theme="0"/>
      <name val="Verdana"/>
      <family val="2"/>
    </font>
    <font>
      <sz val="8"/>
      <color theme="0"/>
      <name val="Verdana"/>
      <family val="2"/>
    </font>
    <font>
      <sz val="10"/>
      <color rgb="FF00759B"/>
      <name val="Arial"/>
      <family val="2"/>
    </font>
    <font>
      <sz val="14"/>
      <color theme="0"/>
      <name val="Arial"/>
      <family val="2"/>
    </font>
    <font>
      <sz val="14"/>
      <color rgb="FFF8B964"/>
      <name val="Arial"/>
      <family val="2"/>
    </font>
    <font>
      <sz val="9"/>
      <color theme="0"/>
      <name val="Arial"/>
      <family val="2"/>
    </font>
    <font>
      <sz val="8"/>
      <name val="Arial"/>
      <family val="2"/>
    </font>
    <font>
      <sz val="9"/>
      <color rgb="FF00759B"/>
      <name val="Arial"/>
      <family val="2"/>
    </font>
    <font>
      <b/>
      <sz val="11"/>
      <color rgb="FF00759B"/>
      <name val="Arial"/>
      <family val="2"/>
    </font>
    <font>
      <sz val="10"/>
      <color theme="0"/>
      <name val="Arial"/>
      <family val="2"/>
    </font>
    <font>
      <sz val="4"/>
      <color theme="0"/>
      <name val="Arial"/>
      <family val="2"/>
    </font>
    <font>
      <sz val="4"/>
      <color rgb="FF00759B"/>
      <name val="Arial"/>
      <family val="2"/>
    </font>
    <font>
      <i/>
      <sz val="8"/>
      <color rgb="FF00759B"/>
      <name val="Arial"/>
      <family val="2"/>
    </font>
    <font>
      <b/>
      <sz val="9"/>
      <color rgb="FF1A171B"/>
      <name val="Verdana"/>
      <family val="2"/>
    </font>
    <font>
      <sz val="10"/>
      <name val="Arial"/>
      <family val="2"/>
    </font>
    <font>
      <b/>
      <sz val="8"/>
      <color rgb="FF1A171B"/>
      <name val="Arial"/>
      <family val="2"/>
    </font>
    <font>
      <sz val="10"/>
      <color rgb="FF00759B"/>
      <name val="Verdana"/>
      <family val="2"/>
    </font>
    <font>
      <i/>
      <sz val="8"/>
      <color theme="1"/>
      <name val="Arial"/>
      <family val="2"/>
    </font>
    <font>
      <sz val="9"/>
      <color theme="1"/>
      <name val="Arial"/>
      <family val="2"/>
    </font>
    <font>
      <sz val="9"/>
      <color rgb="FF1A171B"/>
      <name val="Verdana"/>
      <family val="2"/>
    </font>
    <font>
      <sz val="8"/>
      <color rgb="FF1A171B"/>
      <name val="Verdana"/>
      <family val="2"/>
    </font>
    <font>
      <sz val="8"/>
      <color theme="0"/>
      <name val="Arial"/>
      <family val="2"/>
    </font>
    <font>
      <sz val="11"/>
      <color theme="0"/>
      <name val="Verdana"/>
      <family val="2"/>
    </font>
    <font>
      <b/>
      <i/>
      <sz val="8"/>
      <color rgb="FF00759B"/>
      <name val="Arial"/>
      <family val="2"/>
    </font>
    <font>
      <sz val="6"/>
      <color rgb="FF00759B"/>
      <name val="Arial"/>
      <family val="2"/>
    </font>
    <font>
      <sz val="10"/>
      <color theme="1"/>
      <name val="Arial"/>
      <family val="2"/>
    </font>
    <font>
      <sz val="16"/>
      <color rgb="FFF8B964"/>
      <name val="Arial"/>
      <family val="2"/>
    </font>
    <font>
      <sz val="11"/>
      <color rgb="FF00759B"/>
      <name val="Verdana"/>
      <family val="2"/>
    </font>
    <font>
      <b/>
      <sz val="9"/>
      <color theme="0"/>
      <name val="Verdana"/>
      <family val="2"/>
    </font>
    <font>
      <sz val="9"/>
      <color theme="0"/>
      <name val="Verdana"/>
      <family val="2"/>
    </font>
    <font>
      <sz val="8"/>
      <color rgb="FF5D848D"/>
      <name val="Arial"/>
      <family val="2"/>
    </font>
    <font>
      <b/>
      <sz val="10"/>
      <color rgb="FF1A171B"/>
      <name val="Arial"/>
      <family val="2"/>
    </font>
    <font>
      <b/>
      <sz val="14"/>
      <color rgb="FF1A171B"/>
      <name val="Arial"/>
      <family val="2"/>
    </font>
    <font>
      <b/>
      <sz val="11"/>
      <color theme="0"/>
      <name val="Arial"/>
      <family val="2"/>
    </font>
    <font>
      <b/>
      <sz val="20"/>
      <color rgb="FF1A171B"/>
      <name val="Arial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b/>
      <sz val="18"/>
      <color rgb="FF43525A"/>
      <name val="Arial"/>
      <family val="2"/>
    </font>
    <font>
      <b/>
      <sz val="9"/>
      <color rgb="FF5F6A72"/>
      <name val="Arial"/>
      <family val="2"/>
    </font>
    <font>
      <b/>
      <sz val="22"/>
      <color rgb="FF5F6A72"/>
      <name val="Arial"/>
      <family val="2"/>
    </font>
    <font>
      <b/>
      <sz val="22"/>
      <color rgb="FF44848E"/>
      <name val="Arial"/>
      <family val="2"/>
    </font>
    <font>
      <sz val="9"/>
      <color rgb="FF5F6A72"/>
      <name val="Arial"/>
      <family val="2"/>
    </font>
    <font>
      <sz val="8"/>
      <color rgb="FF5F6A72"/>
      <name val="Arial"/>
      <family val="2"/>
    </font>
    <font>
      <sz val="10"/>
      <color rgb="FF5F6A72"/>
      <name val="Arial"/>
      <family val="2"/>
    </font>
    <font>
      <sz val="11"/>
      <color rgb="FF5F6A72"/>
      <name val="Arial"/>
      <family val="2"/>
    </font>
    <font>
      <b/>
      <sz val="10"/>
      <color rgb="FF5F6A72"/>
      <name val="Arial"/>
      <family val="2"/>
    </font>
    <font>
      <b/>
      <sz val="14"/>
      <color rgb="FF5F6A72"/>
      <name val="Arial"/>
      <family val="2"/>
    </font>
    <font>
      <b/>
      <sz val="8"/>
      <color rgb="FF5F6A72"/>
      <name val="Arial"/>
      <family val="2"/>
    </font>
    <font>
      <b/>
      <sz val="20"/>
      <color rgb="FF5F6A72"/>
      <name val="Arial"/>
      <family val="2"/>
    </font>
    <font>
      <b/>
      <sz val="9"/>
      <color rgb="FF5F6A72"/>
      <name val="Verdana"/>
      <family val="2"/>
    </font>
    <font>
      <sz val="11"/>
      <color rgb="FF5F6A72"/>
      <name val="Calibri"/>
      <family val="2"/>
      <scheme val="minor"/>
    </font>
    <font>
      <b/>
      <sz val="11"/>
      <color rgb="FF5F6A7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44848E"/>
        <bgColor indexed="64"/>
      </patternFill>
    </fill>
    <fill>
      <patternFill patternType="solid">
        <fgColor rgb="FFE0BCC5"/>
        <bgColor indexed="64"/>
      </patternFill>
    </fill>
    <fill>
      <patternFill patternType="solid">
        <fgColor rgb="FF4982A6"/>
        <bgColor indexed="64"/>
      </patternFill>
    </fill>
    <fill>
      <patternFill patternType="solid">
        <fgColor rgb="FFD9E6E8"/>
        <bgColor indexed="64"/>
      </patternFill>
    </fill>
  </fills>
  <borders count="71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5D848D"/>
      </left>
      <right style="thin">
        <color rgb="FF5D848D"/>
      </right>
      <top style="thin">
        <color rgb="FF5D848D"/>
      </top>
      <bottom style="thin">
        <color rgb="FF5D848D"/>
      </bottom>
      <diagonal/>
    </border>
    <border>
      <left style="medium">
        <color rgb="FF44848E"/>
      </left>
      <right style="thin">
        <color rgb="FF44848E"/>
      </right>
      <top style="medium">
        <color rgb="FF44848E"/>
      </top>
      <bottom style="medium">
        <color rgb="FF44848E"/>
      </bottom>
      <diagonal/>
    </border>
    <border>
      <left style="medium">
        <color rgb="FF44848E"/>
      </left>
      <right style="medium">
        <color rgb="FF44848E"/>
      </right>
      <top style="thin">
        <color rgb="FF44848E"/>
      </top>
      <bottom style="thin">
        <color rgb="FF44848E"/>
      </bottom>
      <diagonal/>
    </border>
    <border>
      <left style="thin">
        <color rgb="FF44848E"/>
      </left>
      <right style="thin">
        <color rgb="FF44848E"/>
      </right>
      <top style="thin">
        <color rgb="FF44848E"/>
      </top>
      <bottom style="thin">
        <color rgb="FF44848E"/>
      </bottom>
      <diagonal/>
    </border>
    <border>
      <left style="medium">
        <color rgb="FF44848E"/>
      </left>
      <right style="thin">
        <color rgb="FF44848E"/>
      </right>
      <top style="medium">
        <color rgb="FF44848E"/>
      </top>
      <bottom style="thin">
        <color rgb="FF44848E"/>
      </bottom>
      <diagonal/>
    </border>
    <border>
      <left style="thin">
        <color rgb="FF44848E"/>
      </left>
      <right style="thin">
        <color rgb="FF44848E"/>
      </right>
      <top style="medium">
        <color rgb="FF44848E"/>
      </top>
      <bottom style="thin">
        <color rgb="FF44848E"/>
      </bottom>
      <diagonal/>
    </border>
    <border>
      <left style="thin">
        <color rgb="FF44848E"/>
      </left>
      <right style="medium">
        <color rgb="FF44848E"/>
      </right>
      <top style="medium">
        <color rgb="FF44848E"/>
      </top>
      <bottom style="thin">
        <color rgb="FF44848E"/>
      </bottom>
      <diagonal/>
    </border>
    <border>
      <left style="medium">
        <color rgb="FF44848E"/>
      </left>
      <right style="thin">
        <color rgb="FF44848E"/>
      </right>
      <top style="thin">
        <color rgb="FF44848E"/>
      </top>
      <bottom style="thin">
        <color rgb="FF44848E"/>
      </bottom>
      <diagonal/>
    </border>
    <border>
      <left style="thin">
        <color rgb="FF44848E"/>
      </left>
      <right style="medium">
        <color rgb="FF44848E"/>
      </right>
      <top style="thin">
        <color rgb="FF44848E"/>
      </top>
      <bottom style="thin">
        <color rgb="FF44848E"/>
      </bottom>
      <diagonal/>
    </border>
    <border>
      <left style="medium">
        <color rgb="FF44848E"/>
      </left>
      <right style="thin">
        <color rgb="FF44848E"/>
      </right>
      <top style="thin">
        <color rgb="FF44848E"/>
      </top>
      <bottom style="medium">
        <color rgb="FF44848E"/>
      </bottom>
      <diagonal/>
    </border>
    <border>
      <left style="thin">
        <color rgb="FF44848E"/>
      </left>
      <right style="thin">
        <color rgb="FF44848E"/>
      </right>
      <top style="thin">
        <color rgb="FF44848E"/>
      </top>
      <bottom style="medium">
        <color rgb="FF44848E"/>
      </bottom>
      <diagonal/>
    </border>
    <border>
      <left style="thin">
        <color rgb="FF44848E"/>
      </left>
      <right style="medium">
        <color rgb="FF44848E"/>
      </right>
      <top style="thin">
        <color rgb="FF44848E"/>
      </top>
      <bottom style="medium">
        <color rgb="FF44848E"/>
      </bottom>
      <diagonal/>
    </border>
    <border>
      <left style="thin">
        <color rgb="FF44848E"/>
      </left>
      <right style="thin">
        <color rgb="FF44848E"/>
      </right>
      <top/>
      <bottom style="thin">
        <color rgb="FF44848E"/>
      </bottom>
      <diagonal/>
    </border>
    <border>
      <left style="thin">
        <color rgb="FF44848E"/>
      </left>
      <right style="medium">
        <color rgb="FF44848E"/>
      </right>
      <top/>
      <bottom style="thin">
        <color rgb="FF44848E"/>
      </bottom>
      <diagonal/>
    </border>
    <border>
      <left style="medium">
        <color rgb="FF44848E"/>
      </left>
      <right style="thin">
        <color rgb="FF44848E"/>
      </right>
      <top/>
      <bottom style="thin">
        <color rgb="FF44848E"/>
      </bottom>
      <diagonal/>
    </border>
    <border>
      <left/>
      <right style="thin">
        <color rgb="FF44848E"/>
      </right>
      <top style="thin">
        <color rgb="FF44848E"/>
      </top>
      <bottom style="thin">
        <color rgb="FF44848E"/>
      </bottom>
      <diagonal/>
    </border>
    <border>
      <left style="thin">
        <color rgb="FF44848E"/>
      </left>
      <right style="thin">
        <color rgb="FF44848E"/>
      </right>
      <top style="medium">
        <color rgb="FF44848E"/>
      </top>
      <bottom style="medium">
        <color rgb="FF44848E"/>
      </bottom>
      <diagonal/>
    </border>
    <border>
      <left style="thin">
        <color rgb="FF44848E"/>
      </left>
      <right style="medium">
        <color rgb="FF44848E"/>
      </right>
      <top style="medium">
        <color rgb="FF44848E"/>
      </top>
      <bottom style="medium">
        <color rgb="FF44848E"/>
      </bottom>
      <diagonal/>
    </border>
    <border>
      <left style="medium">
        <color rgb="FF44848E"/>
      </left>
      <right/>
      <top style="medium">
        <color rgb="FF44848E"/>
      </top>
      <bottom style="medium">
        <color rgb="FF44848E"/>
      </bottom>
      <diagonal/>
    </border>
    <border>
      <left/>
      <right/>
      <top style="medium">
        <color rgb="FF44848E"/>
      </top>
      <bottom style="medium">
        <color rgb="FF44848E"/>
      </bottom>
      <diagonal/>
    </border>
    <border>
      <left style="thin">
        <color rgb="FF44848E"/>
      </left>
      <right style="thin">
        <color rgb="FF44848E"/>
      </right>
      <top style="medium">
        <color rgb="FF44848E"/>
      </top>
      <bottom/>
      <diagonal/>
    </border>
    <border>
      <left style="thin">
        <color rgb="FF44848E"/>
      </left>
      <right style="medium">
        <color rgb="FF44848E"/>
      </right>
      <top style="medium">
        <color rgb="FF44848E"/>
      </top>
      <bottom/>
      <diagonal/>
    </border>
    <border>
      <left style="thin">
        <color rgb="FF44848E"/>
      </left>
      <right style="thin">
        <color rgb="FF44848E"/>
      </right>
      <top style="thin">
        <color rgb="FF44848E"/>
      </top>
      <bottom/>
      <diagonal/>
    </border>
    <border>
      <left style="medium">
        <color rgb="FF44848E"/>
      </left>
      <right/>
      <top style="medium">
        <color rgb="FF44848E"/>
      </top>
      <bottom/>
      <diagonal/>
    </border>
    <border>
      <left/>
      <right/>
      <top style="medium">
        <color rgb="FF44848E"/>
      </top>
      <bottom/>
      <diagonal/>
    </border>
    <border>
      <left/>
      <right style="medium">
        <color rgb="FF44848E"/>
      </right>
      <top style="medium">
        <color rgb="FF44848E"/>
      </top>
      <bottom/>
      <diagonal/>
    </border>
    <border>
      <left style="medium">
        <color rgb="FF44848E"/>
      </left>
      <right style="thin">
        <color rgb="FF44848E"/>
      </right>
      <top style="medium">
        <color rgb="FF44848E"/>
      </top>
      <bottom/>
      <diagonal/>
    </border>
    <border>
      <left style="medium">
        <color rgb="FF44848E"/>
      </left>
      <right style="medium">
        <color rgb="FF44848E"/>
      </right>
      <top style="thin">
        <color rgb="FF44848E"/>
      </top>
      <bottom style="medium">
        <color rgb="FF44848E"/>
      </bottom>
      <diagonal/>
    </border>
    <border>
      <left/>
      <right style="thin">
        <color rgb="FF44848E"/>
      </right>
      <top style="medium">
        <color rgb="FF44848E"/>
      </top>
      <bottom style="thin">
        <color rgb="FF44848E"/>
      </bottom>
      <diagonal/>
    </border>
    <border>
      <left/>
      <right style="thin">
        <color rgb="FF44848E"/>
      </right>
      <top style="thin">
        <color rgb="FF44848E"/>
      </top>
      <bottom style="medium">
        <color rgb="FF44848E"/>
      </bottom>
      <diagonal/>
    </border>
    <border>
      <left style="medium">
        <color rgb="FF44848E"/>
      </left>
      <right style="thin">
        <color theme="0"/>
      </right>
      <top style="medium">
        <color rgb="FF44848E"/>
      </top>
      <bottom style="medium">
        <color rgb="FF44848E"/>
      </bottom>
      <diagonal/>
    </border>
    <border>
      <left style="thin">
        <color theme="0"/>
      </left>
      <right style="medium">
        <color rgb="FF44848E"/>
      </right>
      <top style="medium">
        <color rgb="FF44848E"/>
      </top>
      <bottom style="medium">
        <color rgb="FF44848E"/>
      </bottom>
      <diagonal/>
    </border>
    <border>
      <left style="medium">
        <color rgb="FF44848E"/>
      </left>
      <right style="thin">
        <color rgb="FF44848E"/>
      </right>
      <top style="thin">
        <color rgb="FF44848E"/>
      </top>
      <bottom/>
      <diagonal/>
    </border>
    <border>
      <left style="thin">
        <color rgb="FF44848E"/>
      </left>
      <right style="medium">
        <color rgb="FF44848E"/>
      </right>
      <top style="thin">
        <color rgb="FF44848E"/>
      </top>
      <bottom/>
      <diagonal/>
    </border>
    <border>
      <left style="thin">
        <color rgb="FF44848E"/>
      </left>
      <right/>
      <top style="thin">
        <color rgb="FF44848E"/>
      </top>
      <bottom/>
      <diagonal/>
    </border>
    <border>
      <left/>
      <right style="thin">
        <color rgb="FF44848E"/>
      </right>
      <top/>
      <bottom/>
      <diagonal/>
    </border>
    <border>
      <left style="thin">
        <color rgb="FF44848E"/>
      </left>
      <right/>
      <top/>
      <bottom style="thin">
        <color rgb="FF44848E"/>
      </bottom>
      <diagonal/>
    </border>
    <border>
      <left/>
      <right style="thin">
        <color rgb="FF44848E"/>
      </right>
      <top/>
      <bottom style="thin">
        <color rgb="FF44848E"/>
      </bottom>
      <diagonal/>
    </border>
    <border>
      <left style="thin">
        <color rgb="FF44848E"/>
      </left>
      <right/>
      <top style="thin">
        <color rgb="FF44848E"/>
      </top>
      <bottom style="thin">
        <color rgb="FF44848E"/>
      </bottom>
      <diagonal/>
    </border>
    <border>
      <left style="medium">
        <color rgb="FF44848E"/>
      </left>
      <right/>
      <top style="medium">
        <color rgb="FF44848E"/>
      </top>
      <bottom style="thin">
        <color rgb="FF44848E"/>
      </bottom>
      <diagonal/>
    </border>
    <border>
      <left style="medium">
        <color rgb="FF44848E"/>
      </left>
      <right/>
      <top style="thin">
        <color rgb="FF44848E"/>
      </top>
      <bottom style="thin">
        <color rgb="FF44848E"/>
      </bottom>
      <diagonal/>
    </border>
    <border>
      <left style="medium">
        <color rgb="FF44848E"/>
      </left>
      <right/>
      <top/>
      <bottom style="thin">
        <color rgb="FF44848E"/>
      </bottom>
      <diagonal/>
    </border>
    <border>
      <left style="medium">
        <color rgb="FF44848E"/>
      </left>
      <right/>
      <top style="thin">
        <color rgb="FF44848E"/>
      </top>
      <bottom/>
      <diagonal/>
    </border>
    <border>
      <left style="medium">
        <color rgb="FF44848E"/>
      </left>
      <right/>
      <top style="thin">
        <color rgb="FF44848E"/>
      </top>
      <bottom style="medium">
        <color rgb="FF44848E"/>
      </bottom>
      <diagonal/>
    </border>
    <border>
      <left/>
      <right/>
      <top style="thin">
        <color rgb="FF44848E"/>
      </top>
      <bottom style="thin">
        <color rgb="FF44848E"/>
      </bottom>
      <diagonal/>
    </border>
    <border>
      <left/>
      <right/>
      <top style="medium">
        <color rgb="FF44848E"/>
      </top>
      <bottom style="thin">
        <color rgb="FF44848E"/>
      </bottom>
      <diagonal/>
    </border>
    <border>
      <left/>
      <right/>
      <top style="thin">
        <color rgb="FF44848E"/>
      </top>
      <bottom style="medium">
        <color rgb="FF44848E"/>
      </bottom>
      <diagonal/>
    </border>
    <border>
      <left style="medium">
        <color rgb="FF44848E"/>
      </left>
      <right style="thin">
        <color rgb="FF5D848D"/>
      </right>
      <top style="medium">
        <color rgb="FF44848E"/>
      </top>
      <bottom style="thin">
        <color rgb="FF5D848D"/>
      </bottom>
      <diagonal/>
    </border>
    <border>
      <left style="thin">
        <color rgb="FF5D848D"/>
      </left>
      <right style="thin">
        <color rgb="FF5D848D"/>
      </right>
      <top style="medium">
        <color rgb="FF44848E"/>
      </top>
      <bottom style="thin">
        <color rgb="FF5D848D"/>
      </bottom>
      <diagonal/>
    </border>
    <border>
      <left style="thin">
        <color rgb="FF5D848D"/>
      </left>
      <right style="medium">
        <color rgb="FF44848E"/>
      </right>
      <top style="medium">
        <color rgb="FF44848E"/>
      </top>
      <bottom style="thin">
        <color rgb="FF5D848D"/>
      </bottom>
      <diagonal/>
    </border>
    <border>
      <left style="medium">
        <color rgb="FF44848E"/>
      </left>
      <right style="thin">
        <color rgb="FF5D848D"/>
      </right>
      <top style="thin">
        <color rgb="FF5D848D"/>
      </top>
      <bottom style="medium">
        <color rgb="FF44848E"/>
      </bottom>
      <diagonal/>
    </border>
    <border>
      <left style="thin">
        <color rgb="FF5D848D"/>
      </left>
      <right style="thin">
        <color rgb="FF5D848D"/>
      </right>
      <top style="thin">
        <color rgb="FF5D848D"/>
      </top>
      <bottom style="medium">
        <color rgb="FF44848E"/>
      </bottom>
      <diagonal/>
    </border>
    <border>
      <left style="thin">
        <color rgb="FF5D848D"/>
      </left>
      <right style="medium">
        <color rgb="FF44848E"/>
      </right>
      <top style="thin">
        <color rgb="FF5D848D"/>
      </top>
      <bottom style="medium">
        <color rgb="FF44848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44848E"/>
      </bottom>
      <diagonal/>
    </border>
    <border>
      <left style="thin">
        <color indexed="64"/>
      </left>
      <right style="thin">
        <color indexed="64"/>
      </right>
      <top/>
      <bottom style="thin">
        <color rgb="FF44848E"/>
      </bottom>
      <diagonal/>
    </border>
    <border>
      <left style="thin">
        <color indexed="64"/>
      </left>
      <right style="thin">
        <color indexed="64"/>
      </right>
      <top style="thin">
        <color rgb="FF44848E"/>
      </top>
      <bottom style="thin">
        <color rgb="FF44848E"/>
      </bottom>
      <diagonal/>
    </border>
    <border>
      <left style="thin">
        <color indexed="64"/>
      </left>
      <right style="thin">
        <color indexed="64"/>
      </right>
      <top style="thin">
        <color rgb="FF44848E"/>
      </top>
      <bottom style="thin">
        <color indexed="64"/>
      </bottom>
      <diagonal/>
    </border>
    <border>
      <left/>
      <right style="thin">
        <color rgb="FF44848E"/>
      </right>
      <top style="thin">
        <color rgb="FF44848E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3" fillId="0" borderId="0">
      <alignment vertical="top"/>
    </xf>
    <xf numFmtId="0" fontId="30" fillId="0" borderId="0"/>
    <xf numFmtId="0" fontId="51" fillId="0" borderId="0"/>
  </cellStyleXfs>
  <cellXfs count="328">
    <xf numFmtId="0" fontId="0" fillId="0" borderId="0" xfId="0"/>
    <xf numFmtId="0" fontId="3" fillId="2" borderId="0" xfId="0" applyFont="1" applyFill="1" applyProtection="1"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2" borderId="0" xfId="0" applyFont="1" applyFill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0" fontId="2" fillId="0" borderId="0" xfId="0" applyFont="1"/>
    <xf numFmtId="0" fontId="5" fillId="2" borderId="0" xfId="0" applyFont="1" applyFill="1" applyAlignment="1">
      <alignment vertical="center"/>
    </xf>
    <xf numFmtId="164" fontId="6" fillId="2" borderId="0" xfId="0" applyNumberFormat="1" applyFont="1" applyFill="1" applyAlignment="1">
      <alignment vertical="center"/>
    </xf>
    <xf numFmtId="164" fontId="6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64" fontId="10" fillId="2" borderId="0" xfId="0" applyNumberFormat="1" applyFont="1" applyFill="1" applyAlignment="1">
      <alignment vertical="center"/>
    </xf>
    <xf numFmtId="164" fontId="11" fillId="2" borderId="0" xfId="0" applyNumberFormat="1" applyFont="1" applyFill="1" applyAlignment="1">
      <alignment horizontal="center" vertical="center"/>
    </xf>
    <xf numFmtId="164" fontId="11" fillId="2" borderId="0" xfId="0" applyNumberFormat="1" applyFont="1" applyFill="1" applyAlignment="1">
      <alignment vertical="center"/>
    </xf>
    <xf numFmtId="0" fontId="12" fillId="0" borderId="0" xfId="0" applyFont="1" applyAlignment="1">
      <alignment horizontal="left" vertical="center"/>
    </xf>
    <xf numFmtId="49" fontId="14" fillId="0" borderId="0" xfId="2" applyNumberFormat="1" applyFont="1" applyAlignment="1" applyProtection="1">
      <alignment horizontal="left" vertical="center"/>
      <protection locked="0"/>
    </xf>
    <xf numFmtId="0" fontId="15" fillId="0" borderId="0" xfId="0" applyFont="1" applyAlignment="1">
      <alignment vertical="center"/>
    </xf>
    <xf numFmtId="49" fontId="15" fillId="0" borderId="0" xfId="2" applyNumberFormat="1" applyFont="1" applyAlignment="1" applyProtection="1">
      <alignment vertical="center"/>
      <protection locked="0"/>
    </xf>
    <xf numFmtId="0" fontId="3" fillId="2" borderId="0" xfId="0" applyFont="1" applyFill="1" applyAlignment="1">
      <alignment vertical="center"/>
    </xf>
    <xf numFmtId="0" fontId="16" fillId="2" borderId="0" xfId="0" applyFont="1" applyFill="1" applyAlignment="1" applyProtection="1">
      <alignment vertical="top" wrapText="1"/>
      <protection hidden="1"/>
    </xf>
    <xf numFmtId="0" fontId="16" fillId="2" borderId="0" xfId="0" applyFont="1" applyFill="1" applyAlignment="1" applyProtection="1">
      <alignment horizontal="center" vertical="top" wrapText="1"/>
      <protection hidden="1"/>
    </xf>
    <xf numFmtId="0" fontId="17" fillId="2" borderId="0" xfId="0" applyFont="1" applyFill="1" applyAlignment="1" applyProtection="1">
      <alignment vertical="top"/>
      <protection hidden="1"/>
    </xf>
    <xf numFmtId="0" fontId="17" fillId="2" borderId="0" xfId="0" applyFont="1" applyFill="1" applyAlignment="1" applyProtection="1">
      <alignment horizontal="center" vertical="top"/>
      <protection hidden="1"/>
    </xf>
    <xf numFmtId="164" fontId="18" fillId="2" borderId="0" xfId="0" applyNumberFormat="1" applyFont="1" applyFill="1" applyAlignment="1">
      <alignment vertical="center"/>
    </xf>
    <xf numFmtId="0" fontId="18" fillId="2" borderId="0" xfId="0" applyFont="1" applyFill="1" applyAlignment="1">
      <alignment vertical="center"/>
    </xf>
    <xf numFmtId="164" fontId="20" fillId="2" borderId="0" xfId="0" applyNumberFormat="1" applyFont="1" applyFill="1" applyAlignment="1">
      <alignment vertical="center"/>
    </xf>
    <xf numFmtId="164" fontId="5" fillId="2" borderId="0" xfId="0" applyNumberFormat="1" applyFont="1" applyFill="1" applyAlignment="1">
      <alignment vertical="center"/>
    </xf>
    <xf numFmtId="164" fontId="21" fillId="2" borderId="0" xfId="0" applyNumberFormat="1" applyFont="1" applyFill="1" applyAlignment="1">
      <alignment vertical="center"/>
    </xf>
    <xf numFmtId="164" fontId="21" fillId="2" borderId="0" xfId="0" applyNumberFormat="1" applyFont="1" applyFill="1" applyAlignment="1">
      <alignment vertical="center" wrapText="1"/>
    </xf>
    <xf numFmtId="0" fontId="24" fillId="2" borderId="0" xfId="0" applyFont="1" applyFill="1" applyAlignment="1">
      <alignment horizontal="left" vertical="center" indent="1"/>
    </xf>
    <xf numFmtId="164" fontId="21" fillId="2" borderId="0" xfId="0" applyNumberFormat="1" applyFont="1" applyFill="1" applyAlignment="1">
      <alignment horizontal="center" vertical="center"/>
    </xf>
    <xf numFmtId="164" fontId="25" fillId="2" borderId="0" xfId="0" applyNumberFormat="1" applyFont="1" applyFill="1" applyAlignment="1">
      <alignment horizontal="center" vertical="center"/>
    </xf>
    <xf numFmtId="0" fontId="25" fillId="2" borderId="0" xfId="0" applyFont="1" applyFill="1" applyAlignment="1">
      <alignment horizontal="center" vertical="center"/>
    </xf>
    <xf numFmtId="164" fontId="26" fillId="2" borderId="0" xfId="0" applyNumberFormat="1" applyFont="1" applyFill="1" applyAlignment="1">
      <alignment vertical="center"/>
    </xf>
    <xf numFmtId="164" fontId="22" fillId="2" borderId="2" xfId="0" applyNumberFormat="1" applyFont="1" applyFill="1" applyBorder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164" fontId="22" fillId="2" borderId="3" xfId="0" applyNumberFormat="1" applyFont="1" applyFill="1" applyBorder="1" applyAlignment="1">
      <alignment horizontal="center" vertical="center"/>
    </xf>
    <xf numFmtId="0" fontId="26" fillId="2" borderId="0" xfId="0" applyFont="1" applyFill="1" applyAlignment="1">
      <alignment vertical="center"/>
    </xf>
    <xf numFmtId="164" fontId="22" fillId="2" borderId="4" xfId="0" applyNumberFormat="1" applyFont="1" applyFill="1" applyBorder="1" applyAlignment="1">
      <alignment horizontal="center" vertical="center"/>
    </xf>
    <xf numFmtId="0" fontId="27" fillId="2" borderId="0" xfId="0" applyFont="1" applyFill="1" applyAlignment="1">
      <alignment vertical="center"/>
    </xf>
    <xf numFmtId="164" fontId="6" fillId="2" borderId="0" xfId="0" applyNumberFormat="1" applyFont="1" applyFill="1" applyAlignment="1">
      <alignment horizontal="left" vertical="center" indent="1"/>
    </xf>
    <xf numFmtId="164" fontId="28" fillId="2" borderId="0" xfId="0" applyNumberFormat="1" applyFont="1" applyFill="1" applyAlignment="1">
      <alignment vertical="top"/>
    </xf>
    <xf numFmtId="164" fontId="28" fillId="2" borderId="0" xfId="0" applyNumberFormat="1" applyFont="1" applyFill="1" applyAlignment="1">
      <alignment horizontal="center" vertical="top"/>
    </xf>
    <xf numFmtId="164" fontId="6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32" fillId="2" borderId="0" xfId="0" applyFont="1" applyFill="1" applyAlignment="1" applyProtection="1">
      <alignment horizontal="center" vertical="top" wrapText="1"/>
      <protection hidden="1"/>
    </xf>
    <xf numFmtId="0" fontId="32" fillId="2" borderId="0" xfId="0" applyFont="1" applyFill="1" applyAlignment="1" applyProtection="1">
      <alignment vertical="top" wrapText="1"/>
      <protection hidden="1"/>
    </xf>
    <xf numFmtId="0" fontId="31" fillId="0" borderId="0" xfId="3" applyFont="1" applyAlignment="1">
      <alignment horizontal="left" vertical="center"/>
    </xf>
    <xf numFmtId="168" fontId="15" fillId="0" borderId="0" xfId="1" applyNumberFormat="1" applyFont="1" applyFill="1" applyBorder="1" applyAlignment="1" applyProtection="1">
      <alignment horizontal="center" vertical="center" shrinkToFit="1"/>
    </xf>
    <xf numFmtId="166" fontId="15" fillId="0" borderId="0" xfId="1" applyNumberFormat="1" applyFont="1" applyFill="1" applyBorder="1" applyAlignment="1" applyProtection="1">
      <alignment vertical="center" shrinkToFit="1"/>
    </xf>
    <xf numFmtId="167" fontId="31" fillId="0" borderId="0" xfId="3" applyNumberFormat="1" applyFont="1" applyAlignment="1">
      <alignment horizontal="center" vertical="center" shrinkToFit="1"/>
    </xf>
    <xf numFmtId="0" fontId="33" fillId="0" borderId="0" xfId="0" applyFont="1"/>
    <xf numFmtId="0" fontId="29" fillId="0" borderId="0" xfId="0" applyFont="1" applyAlignment="1">
      <alignment horizontal="left" vertical="center"/>
    </xf>
    <xf numFmtId="49" fontId="35" fillId="0" borderId="0" xfId="2" applyNumberFormat="1" applyFont="1" applyAlignment="1" applyProtection="1">
      <alignment horizontal="left" vertical="center"/>
      <protection locked="0"/>
    </xf>
    <xf numFmtId="0" fontId="36" fillId="0" borderId="0" xfId="0" applyFont="1" applyAlignment="1">
      <alignment horizontal="left" vertical="center"/>
    </xf>
    <xf numFmtId="49" fontId="36" fillId="0" borderId="0" xfId="2" applyNumberFormat="1" applyFont="1" applyAlignment="1" applyProtection="1">
      <alignment horizontal="left" vertical="center"/>
      <protection locked="0"/>
    </xf>
    <xf numFmtId="14" fontId="36" fillId="0" borderId="0" xfId="2" applyNumberFormat="1" applyFont="1" applyAlignment="1" applyProtection="1">
      <alignment horizontal="center" vertical="center"/>
      <protection locked="0"/>
    </xf>
    <xf numFmtId="164" fontId="3" fillId="2" borderId="0" xfId="0" applyNumberFormat="1" applyFont="1" applyFill="1" applyAlignment="1">
      <alignment horizontal="left" vertical="center"/>
    </xf>
    <xf numFmtId="164" fontId="37" fillId="2" borderId="0" xfId="0" applyNumberFormat="1" applyFont="1" applyFill="1" applyAlignment="1">
      <alignment horizontal="left" vertical="center"/>
    </xf>
    <xf numFmtId="0" fontId="17" fillId="2" borderId="0" xfId="0" applyFont="1" applyFill="1" applyAlignment="1" applyProtection="1">
      <alignment vertical="top" wrapText="1"/>
      <protection hidden="1"/>
    </xf>
    <xf numFmtId="0" fontId="17" fillId="2" borderId="0" xfId="0" applyFont="1" applyFill="1" applyAlignment="1" applyProtection="1">
      <alignment horizontal="center" vertical="top" wrapText="1"/>
      <protection hidden="1"/>
    </xf>
    <xf numFmtId="0" fontId="38" fillId="2" borderId="0" xfId="0" applyFont="1" applyFill="1" applyAlignment="1" applyProtection="1">
      <alignment horizontal="center" vertical="top" wrapText="1"/>
      <protection hidden="1"/>
    </xf>
    <xf numFmtId="0" fontId="38" fillId="2" borderId="0" xfId="0" applyFont="1" applyFill="1" applyAlignment="1" applyProtection="1">
      <alignment vertical="top" wrapText="1"/>
      <protection hidden="1"/>
    </xf>
    <xf numFmtId="164" fontId="18" fillId="2" borderId="0" xfId="0" applyNumberFormat="1" applyFont="1" applyFill="1" applyAlignment="1">
      <alignment vertical="center" wrapText="1"/>
    </xf>
    <xf numFmtId="0" fontId="32" fillId="2" borderId="0" xfId="0" applyFont="1" applyFill="1" applyAlignment="1" applyProtection="1">
      <alignment horizontal="center" vertical="center"/>
      <protection hidden="1"/>
    </xf>
    <xf numFmtId="0" fontId="32" fillId="2" borderId="0" xfId="0" applyFont="1" applyFill="1" applyAlignment="1" applyProtection="1">
      <alignment vertical="top"/>
      <protection hidden="1"/>
    </xf>
    <xf numFmtId="0" fontId="32" fillId="2" borderId="0" xfId="0" applyFont="1" applyFill="1" applyAlignment="1" applyProtection="1">
      <alignment horizontal="center" vertical="top"/>
      <protection hidden="1"/>
    </xf>
    <xf numFmtId="164" fontId="22" fillId="2" borderId="5" xfId="0" applyNumberFormat="1" applyFont="1" applyFill="1" applyBorder="1" applyAlignment="1">
      <alignment horizontal="center" vertical="center"/>
    </xf>
    <xf numFmtId="164" fontId="22" fillId="2" borderId="6" xfId="0" applyNumberFormat="1" applyFont="1" applyFill="1" applyBorder="1" applyAlignment="1">
      <alignment horizontal="center" vertical="center"/>
    </xf>
    <xf numFmtId="0" fontId="39" fillId="2" borderId="0" xfId="0" applyFont="1" applyFill="1" applyAlignment="1">
      <alignment horizontal="right" vertical="center"/>
    </xf>
    <xf numFmtId="0" fontId="40" fillId="2" borderId="0" xfId="0" applyFont="1" applyFill="1" applyAlignment="1" applyProtection="1">
      <alignment vertical="center"/>
      <protection hidden="1"/>
    </xf>
    <xf numFmtId="0" fontId="5" fillId="2" borderId="0" xfId="0" applyFont="1" applyFill="1" applyAlignment="1" applyProtection="1">
      <alignment vertical="center"/>
      <protection hidden="1"/>
    </xf>
    <xf numFmtId="164" fontId="22" fillId="2" borderId="7" xfId="0" applyNumberFormat="1" applyFont="1" applyFill="1" applyBorder="1" applyAlignment="1">
      <alignment horizontal="center" vertical="center"/>
    </xf>
    <xf numFmtId="164" fontId="6" fillId="2" borderId="8" xfId="0" applyNumberFormat="1" applyFont="1" applyFill="1" applyBorder="1" applyAlignment="1">
      <alignment horizontal="center" vertical="center"/>
    </xf>
    <xf numFmtId="164" fontId="37" fillId="2" borderId="0" xfId="0" applyNumberFormat="1" applyFont="1" applyFill="1" applyAlignment="1">
      <alignment horizontal="left" vertical="center" indent="1"/>
    </xf>
    <xf numFmtId="164" fontId="37" fillId="2" borderId="0" xfId="0" applyNumberFormat="1" applyFont="1" applyFill="1" applyAlignment="1">
      <alignment horizontal="center" vertical="center"/>
    </xf>
    <xf numFmtId="0" fontId="37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1" fillId="0" borderId="0" xfId="0" applyFont="1" applyAlignment="1">
      <alignment vertical="center"/>
    </xf>
    <xf numFmtId="164" fontId="42" fillId="2" borderId="0" xfId="0" applyNumberFormat="1" applyFont="1" applyFill="1" applyAlignment="1">
      <alignment vertical="center"/>
    </xf>
    <xf numFmtId="0" fontId="5" fillId="2" borderId="0" xfId="0" applyFont="1" applyFill="1" applyAlignment="1">
      <alignment horizontal="left" vertical="center"/>
    </xf>
    <xf numFmtId="164" fontId="22" fillId="2" borderId="10" xfId="0" applyNumberFormat="1" applyFont="1" applyFill="1" applyBorder="1" applyAlignment="1">
      <alignment horizontal="center" vertical="center"/>
    </xf>
    <xf numFmtId="164" fontId="22" fillId="2" borderId="11" xfId="0" applyNumberFormat="1" applyFont="1" applyFill="1" applyBorder="1" applyAlignment="1">
      <alignment horizontal="center" vertical="center"/>
    </xf>
    <xf numFmtId="164" fontId="22" fillId="2" borderId="12" xfId="0" applyNumberFormat="1" applyFont="1" applyFill="1" applyBorder="1" applyAlignment="1">
      <alignment horizontal="center" vertical="center"/>
    </xf>
    <xf numFmtId="164" fontId="5" fillId="2" borderId="0" xfId="0" applyNumberFormat="1" applyFont="1" applyFill="1" applyAlignment="1">
      <alignment horizontal="left" vertical="center"/>
    </xf>
    <xf numFmtId="0" fontId="43" fillId="2" borderId="0" xfId="0" applyFont="1" applyFill="1" applyAlignment="1" applyProtection="1">
      <alignment vertical="top" wrapText="1"/>
      <protection hidden="1"/>
    </xf>
    <xf numFmtId="0" fontId="43" fillId="2" borderId="0" xfId="0" applyFont="1" applyFill="1" applyAlignment="1" applyProtection="1">
      <alignment horizontal="center" vertical="top" wrapText="1"/>
      <protection hidden="1"/>
    </xf>
    <xf numFmtId="0" fontId="3" fillId="2" borderId="0" xfId="0" applyFont="1" applyFill="1" applyAlignment="1">
      <alignment horizontal="left" vertical="center"/>
    </xf>
    <xf numFmtId="49" fontId="14" fillId="0" borderId="0" xfId="2" applyNumberFormat="1" applyFont="1" applyAlignment="1" applyProtection="1">
      <alignment horizontal="center" vertical="center"/>
      <protection locked="0"/>
    </xf>
    <xf numFmtId="164" fontId="20" fillId="2" borderId="0" xfId="0" applyNumberFormat="1" applyFont="1" applyFill="1" applyAlignment="1">
      <alignment horizontal="center" vertical="center"/>
    </xf>
    <xf numFmtId="164" fontId="23" fillId="2" borderId="0" xfId="0" applyNumberFormat="1" applyFont="1" applyFill="1" applyAlignment="1">
      <alignment horizontal="center" vertical="center" wrapText="1"/>
    </xf>
    <xf numFmtId="0" fontId="44" fillId="0" borderId="0" xfId="0" applyFont="1" applyAlignment="1">
      <alignment horizontal="left" vertical="center"/>
    </xf>
    <xf numFmtId="49" fontId="45" fillId="0" borderId="0" xfId="2" applyNumberFormat="1" applyFont="1" applyAlignment="1" applyProtection="1">
      <alignment horizontal="left" vertical="center"/>
      <protection locked="0"/>
    </xf>
    <xf numFmtId="0" fontId="45" fillId="0" borderId="0" xfId="0" applyFont="1" applyAlignment="1">
      <alignment horizontal="left" vertical="center"/>
    </xf>
    <xf numFmtId="14" fontId="45" fillId="0" borderId="0" xfId="2" applyNumberFormat="1" applyFont="1" applyAlignment="1" applyProtection="1">
      <alignment horizontal="center" vertical="center"/>
      <protection locked="0"/>
    </xf>
    <xf numFmtId="164" fontId="22" fillId="2" borderId="0" xfId="0" applyNumberFormat="1" applyFont="1" applyFill="1" applyAlignment="1">
      <alignment horizontal="center" vertical="center"/>
    </xf>
    <xf numFmtId="0" fontId="0" fillId="0" borderId="8" xfId="0" applyBorder="1"/>
    <xf numFmtId="0" fontId="22" fillId="2" borderId="9" xfId="0" applyFont="1" applyFill="1" applyBorder="1" applyAlignment="1">
      <alignment horizontal="center" vertical="center"/>
    </xf>
    <xf numFmtId="0" fontId="46" fillId="3" borderId="13" xfId="0" applyFont="1" applyFill="1" applyBorder="1" applyAlignment="1">
      <alignment horizontal="center" vertical="center" wrapText="1"/>
    </xf>
    <xf numFmtId="164" fontId="46" fillId="3" borderId="13" xfId="0" applyNumberFormat="1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1" fillId="0" borderId="0" xfId="4"/>
    <xf numFmtId="164" fontId="19" fillId="0" borderId="1" xfId="0" applyNumberFormat="1" applyFont="1" applyBorder="1" applyAlignment="1">
      <alignment vertical="center"/>
    </xf>
    <xf numFmtId="164" fontId="19" fillId="0" borderId="1" xfId="0" applyNumberFormat="1" applyFont="1" applyBorder="1" applyAlignment="1">
      <alignment vertical="center" wrapText="1"/>
    </xf>
    <xf numFmtId="0" fontId="52" fillId="0" borderId="0" xfId="0" applyFont="1"/>
    <xf numFmtId="0" fontId="25" fillId="2" borderId="0" xfId="0" applyFont="1" applyFill="1" applyAlignment="1">
      <alignment horizontal="left" vertical="center"/>
    </xf>
    <xf numFmtId="0" fontId="52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53" fillId="0" borderId="0" xfId="0" applyFont="1" applyAlignment="1">
      <alignment vertical="center"/>
    </xf>
    <xf numFmtId="164" fontId="15" fillId="2" borderId="16" xfId="0" applyNumberFormat="1" applyFont="1" applyFill="1" applyBorder="1" applyAlignment="1">
      <alignment horizontal="center" vertical="center"/>
    </xf>
    <xf numFmtId="3" fontId="15" fillId="2" borderId="16" xfId="0" applyNumberFormat="1" applyFont="1" applyFill="1" applyBorder="1" applyAlignment="1">
      <alignment horizontal="center" vertical="center"/>
    </xf>
    <xf numFmtId="165" fontId="15" fillId="2" borderId="16" xfId="0" applyNumberFormat="1" applyFont="1" applyFill="1" applyBorder="1" applyAlignment="1">
      <alignment horizontal="center" vertical="center"/>
    </xf>
    <xf numFmtId="165" fontId="15" fillId="2" borderId="21" xfId="0" applyNumberFormat="1" applyFont="1" applyFill="1" applyBorder="1" applyAlignment="1">
      <alignment horizontal="center" vertical="center"/>
    </xf>
    <xf numFmtId="164" fontId="15" fillId="2" borderId="23" xfId="0" applyNumberFormat="1" applyFont="1" applyFill="1" applyBorder="1" applyAlignment="1">
      <alignment horizontal="center" vertical="center"/>
    </xf>
    <xf numFmtId="3" fontId="15" fillId="2" borderId="23" xfId="0" applyNumberFormat="1" applyFont="1" applyFill="1" applyBorder="1" applyAlignment="1">
      <alignment horizontal="center" vertical="center"/>
    </xf>
    <xf numFmtId="165" fontId="15" fillId="2" borderId="24" xfId="0" applyNumberFormat="1" applyFont="1" applyFill="1" applyBorder="1" applyAlignment="1">
      <alignment horizontal="center" vertical="center"/>
    </xf>
    <xf numFmtId="164" fontId="58" fillId="2" borderId="17" xfId="0" applyNumberFormat="1" applyFont="1" applyFill="1" applyBorder="1" applyAlignment="1">
      <alignment horizontal="left" vertical="center" indent="1"/>
    </xf>
    <xf numFmtId="164" fontId="58" fillId="2" borderId="18" xfId="0" applyNumberFormat="1" applyFont="1" applyFill="1" applyBorder="1" applyAlignment="1">
      <alignment horizontal="center" vertical="center"/>
    </xf>
    <xf numFmtId="164" fontId="58" fillId="2" borderId="20" xfId="0" applyNumberFormat="1" applyFont="1" applyFill="1" applyBorder="1" applyAlignment="1">
      <alignment horizontal="left" vertical="center" indent="1"/>
    </xf>
    <xf numFmtId="164" fontId="58" fillId="2" borderId="16" xfId="0" applyNumberFormat="1" applyFont="1" applyFill="1" applyBorder="1" applyAlignment="1">
      <alignment horizontal="center" vertical="center"/>
    </xf>
    <xf numFmtId="164" fontId="58" fillId="2" borderId="22" xfId="0" applyNumberFormat="1" applyFont="1" applyFill="1" applyBorder="1" applyAlignment="1">
      <alignment horizontal="left" vertical="center" indent="1"/>
    </xf>
    <xf numFmtId="164" fontId="58" fillId="2" borderId="23" xfId="0" applyNumberFormat="1" applyFont="1" applyFill="1" applyBorder="1" applyAlignment="1">
      <alignment horizontal="center" vertical="center"/>
    </xf>
    <xf numFmtId="164" fontId="58" fillId="2" borderId="17" xfId="0" applyNumberFormat="1" applyFont="1" applyFill="1" applyBorder="1" applyAlignment="1">
      <alignment horizontal="center" vertical="center"/>
    </xf>
    <xf numFmtId="164" fontId="58" fillId="0" borderId="20" xfId="0" applyNumberFormat="1" applyFont="1" applyBorder="1" applyAlignment="1">
      <alignment horizontal="center" vertical="center"/>
    </xf>
    <xf numFmtId="164" fontId="58" fillId="2" borderId="20" xfId="0" applyNumberFormat="1" applyFont="1" applyFill="1" applyBorder="1" applyAlignment="1">
      <alignment horizontal="center" vertical="center"/>
    </xf>
    <xf numFmtId="164" fontId="58" fillId="2" borderId="22" xfId="0" applyNumberFormat="1" applyFont="1" applyFill="1" applyBorder="1" applyAlignment="1">
      <alignment horizontal="center" vertical="center"/>
    </xf>
    <xf numFmtId="164" fontId="58" fillId="2" borderId="25" xfId="0" applyNumberFormat="1" applyFont="1" applyFill="1" applyBorder="1" applyAlignment="1">
      <alignment horizontal="center" vertical="center"/>
    </xf>
    <xf numFmtId="164" fontId="15" fillId="2" borderId="25" xfId="0" applyNumberFormat="1" applyFont="1" applyFill="1" applyBorder="1" applyAlignment="1">
      <alignment horizontal="center" vertical="center"/>
    </xf>
    <xf numFmtId="3" fontId="15" fillId="2" borderId="25" xfId="0" applyNumberFormat="1" applyFont="1" applyFill="1" applyBorder="1" applyAlignment="1">
      <alignment horizontal="center" vertical="center"/>
    </xf>
    <xf numFmtId="165" fontId="15" fillId="2" borderId="26" xfId="0" applyNumberFormat="1" applyFont="1" applyFill="1" applyBorder="1" applyAlignment="1">
      <alignment horizontal="center" vertical="center"/>
    </xf>
    <xf numFmtId="164" fontId="58" fillId="2" borderId="27" xfId="0" applyNumberFormat="1" applyFont="1" applyFill="1" applyBorder="1" applyAlignment="1">
      <alignment horizontal="center" vertical="center"/>
    </xf>
    <xf numFmtId="164" fontId="49" fillId="4" borderId="31" xfId="0" applyNumberFormat="1" applyFont="1" applyFill="1" applyBorder="1" applyAlignment="1">
      <alignment horizontal="center" vertical="center" wrapText="1"/>
    </xf>
    <xf numFmtId="164" fontId="49" fillId="4" borderId="32" xfId="0" applyNumberFormat="1" applyFont="1" applyFill="1" applyBorder="1" applyAlignment="1">
      <alignment horizontal="center" vertical="center" wrapText="1"/>
    </xf>
    <xf numFmtId="3" fontId="50" fillId="2" borderId="23" xfId="0" applyNumberFormat="1" applyFont="1" applyFill="1" applyBorder="1" applyAlignment="1">
      <alignment horizontal="center" vertical="center"/>
    </xf>
    <xf numFmtId="169" fontId="8" fillId="2" borderId="23" xfId="0" applyNumberFormat="1" applyFont="1" applyFill="1" applyBorder="1" applyAlignment="1">
      <alignment horizontal="center" vertical="center"/>
    </xf>
    <xf numFmtId="169" fontId="8" fillId="2" borderId="24" xfId="0" applyNumberFormat="1" applyFont="1" applyFill="1" applyBorder="1" applyAlignment="1">
      <alignment horizontal="center" vertical="center"/>
    </xf>
    <xf numFmtId="164" fontId="15" fillId="2" borderId="16" xfId="0" applyNumberFormat="1" applyFont="1" applyFill="1" applyBorder="1" applyAlignment="1">
      <alignment vertical="center"/>
    </xf>
    <xf numFmtId="3" fontId="15" fillId="0" borderId="29" xfId="1" applyNumberFormat="1" applyFont="1" applyFill="1" applyBorder="1" applyAlignment="1" applyProtection="1">
      <alignment horizontal="center" vertical="center" shrinkToFit="1"/>
    </xf>
    <xf numFmtId="165" fontId="15" fillId="0" borderId="30" xfId="1" applyNumberFormat="1" applyFont="1" applyFill="1" applyBorder="1" applyAlignment="1" applyProtection="1">
      <alignment horizontal="center" vertical="center" shrinkToFit="1"/>
    </xf>
    <xf numFmtId="0" fontId="58" fillId="3" borderId="13" xfId="0" applyFont="1" applyFill="1" applyBorder="1" applyAlignment="1">
      <alignment horizontal="center" vertical="center" wrapText="1"/>
    </xf>
    <xf numFmtId="164" fontId="58" fillId="3" borderId="13" xfId="0" applyNumberFormat="1" applyFont="1" applyFill="1" applyBorder="1" applyAlignment="1">
      <alignment horizontal="center" vertical="center"/>
    </xf>
    <xf numFmtId="0" fontId="60" fillId="3" borderId="13" xfId="0" applyFont="1" applyFill="1" applyBorder="1" applyAlignment="1">
      <alignment horizontal="center" vertical="center"/>
    </xf>
    <xf numFmtId="0" fontId="34" fillId="0" borderId="29" xfId="0" applyFont="1" applyBorder="1" applyAlignment="1">
      <alignment horizontal="center"/>
    </xf>
    <xf numFmtId="14" fontId="34" fillId="0" borderId="29" xfId="0" applyNumberFormat="1" applyFont="1" applyBorder="1" applyAlignment="1">
      <alignment horizontal="center"/>
    </xf>
    <xf numFmtId="0" fontId="34" fillId="0" borderId="30" xfId="0" applyFont="1" applyBorder="1" applyAlignment="1">
      <alignment horizontal="center"/>
    </xf>
    <xf numFmtId="3" fontId="22" fillId="2" borderId="16" xfId="0" applyNumberFormat="1" applyFont="1" applyFill="1" applyBorder="1" applyAlignment="1">
      <alignment horizontal="center" vertical="center"/>
    </xf>
    <xf numFmtId="164" fontId="6" fillId="3" borderId="16" xfId="0" applyNumberFormat="1" applyFont="1" applyFill="1" applyBorder="1" applyAlignment="1">
      <alignment horizontal="center" vertical="center"/>
    </xf>
    <xf numFmtId="3" fontId="22" fillId="3" borderId="16" xfId="0" applyNumberFormat="1" applyFont="1" applyFill="1" applyBorder="1" applyAlignment="1">
      <alignment horizontal="center" vertical="center"/>
    </xf>
    <xf numFmtId="3" fontId="22" fillId="2" borderId="18" xfId="0" applyNumberFormat="1" applyFont="1" applyFill="1" applyBorder="1" applyAlignment="1">
      <alignment horizontal="center" vertical="center"/>
    </xf>
    <xf numFmtId="165" fontId="22" fillId="2" borderId="19" xfId="0" applyNumberFormat="1" applyFont="1" applyFill="1" applyBorder="1" applyAlignment="1">
      <alignment horizontal="center" vertical="center"/>
    </xf>
    <xf numFmtId="165" fontId="22" fillId="2" borderId="21" xfId="0" applyNumberFormat="1" applyFont="1" applyFill="1" applyBorder="1" applyAlignment="1">
      <alignment horizontal="center" vertical="center"/>
    </xf>
    <xf numFmtId="165" fontId="22" fillId="3" borderId="21" xfId="0" applyNumberFormat="1" applyFont="1" applyFill="1" applyBorder="1" applyAlignment="1">
      <alignment horizontal="center" vertical="center"/>
    </xf>
    <xf numFmtId="3" fontId="22" fillId="2" borderId="23" xfId="0" applyNumberFormat="1" applyFont="1" applyFill="1" applyBorder="1" applyAlignment="1">
      <alignment horizontal="center" vertical="center"/>
    </xf>
    <xf numFmtId="165" fontId="22" fillId="2" borderId="24" xfId="0" applyNumberFormat="1" applyFont="1" applyFill="1" applyBorder="1" applyAlignment="1">
      <alignment horizontal="center" vertical="center"/>
    </xf>
    <xf numFmtId="3" fontId="22" fillId="2" borderId="25" xfId="0" applyNumberFormat="1" applyFont="1" applyFill="1" applyBorder="1" applyAlignment="1">
      <alignment horizontal="center" vertical="center"/>
    </xf>
    <xf numFmtId="165" fontId="22" fillId="2" borderId="26" xfId="0" applyNumberFormat="1" applyFont="1" applyFill="1" applyBorder="1" applyAlignment="1">
      <alignment horizontal="center" vertical="center"/>
    </xf>
    <xf numFmtId="164" fontId="58" fillId="0" borderId="17" xfId="0" applyNumberFormat="1" applyFont="1" applyBorder="1" applyAlignment="1">
      <alignment horizontal="left" vertical="center" indent="1"/>
    </xf>
    <xf numFmtId="164" fontId="58" fillId="0" borderId="20" xfId="0" applyNumberFormat="1" applyFont="1" applyBorder="1" applyAlignment="1">
      <alignment horizontal="left" vertical="center" indent="1"/>
    </xf>
    <xf numFmtId="164" fontId="58" fillId="0" borderId="22" xfId="0" applyNumberFormat="1" applyFont="1" applyBorder="1" applyAlignment="1">
      <alignment horizontal="left" vertical="center" indent="1"/>
    </xf>
    <xf numFmtId="164" fontId="49" fillId="4" borderId="22" xfId="0" applyNumberFormat="1" applyFont="1" applyFill="1" applyBorder="1" applyAlignment="1">
      <alignment horizontal="center" vertical="center" wrapText="1"/>
    </xf>
    <xf numFmtId="164" fontId="49" fillId="4" borderId="23" xfId="0" applyNumberFormat="1" applyFont="1" applyFill="1" applyBorder="1" applyAlignment="1">
      <alignment horizontal="center" vertical="center" wrapText="1"/>
    </xf>
    <xf numFmtId="3" fontId="64" fillId="2" borderId="23" xfId="0" applyNumberFormat="1" applyFont="1" applyFill="1" applyBorder="1" applyAlignment="1">
      <alignment horizontal="center" vertical="center"/>
    </xf>
    <xf numFmtId="169" fontId="55" fillId="2" borderId="23" xfId="0" applyNumberFormat="1" applyFont="1" applyFill="1" applyBorder="1" applyAlignment="1">
      <alignment horizontal="center" vertical="center"/>
    </xf>
    <xf numFmtId="169" fontId="55" fillId="2" borderId="24" xfId="0" applyNumberFormat="1" applyFont="1" applyFill="1" applyBorder="1" applyAlignment="1">
      <alignment horizontal="center" vertical="center"/>
    </xf>
    <xf numFmtId="164" fontId="58" fillId="2" borderId="14" xfId="0" applyNumberFormat="1" applyFont="1" applyFill="1" applyBorder="1" applyAlignment="1">
      <alignment vertical="center"/>
    </xf>
    <xf numFmtId="164" fontId="58" fillId="2" borderId="29" xfId="0" applyNumberFormat="1" applyFont="1" applyFill="1" applyBorder="1" applyAlignment="1">
      <alignment horizontal="center" vertical="center"/>
    </xf>
    <xf numFmtId="3" fontId="58" fillId="2" borderId="29" xfId="0" applyNumberFormat="1" applyFont="1" applyFill="1" applyBorder="1" applyAlignment="1">
      <alignment horizontal="center" vertical="center"/>
    </xf>
    <xf numFmtId="165" fontId="58" fillId="2" borderId="30" xfId="0" applyNumberFormat="1" applyFont="1" applyFill="1" applyBorder="1" applyAlignment="1">
      <alignment horizontal="center" vertical="center"/>
    </xf>
    <xf numFmtId="164" fontId="58" fillId="2" borderId="14" xfId="0" applyNumberFormat="1" applyFont="1" applyFill="1" applyBorder="1" applyAlignment="1">
      <alignment horizontal="center" vertical="center"/>
    </xf>
    <xf numFmtId="3" fontId="58" fillId="0" borderId="29" xfId="1" applyNumberFormat="1" applyFont="1" applyFill="1" applyBorder="1" applyAlignment="1" applyProtection="1">
      <alignment horizontal="center" vertical="center" shrinkToFit="1"/>
    </xf>
    <xf numFmtId="165" fontId="58" fillId="0" borderId="30" xfId="1" applyNumberFormat="1" applyFont="1" applyFill="1" applyBorder="1" applyAlignment="1" applyProtection="1">
      <alignment horizontal="center" vertical="center" shrinkToFit="1"/>
    </xf>
    <xf numFmtId="0" fontId="57" fillId="0" borderId="29" xfId="0" applyFont="1" applyBorder="1" applyAlignment="1">
      <alignment horizontal="center"/>
    </xf>
    <xf numFmtId="167" fontId="58" fillId="0" borderId="47" xfId="0" applyNumberFormat="1" applyFont="1" applyBorder="1" applyAlignment="1">
      <alignment horizontal="left" vertical="center" indent="1"/>
    </xf>
    <xf numFmtId="167" fontId="58" fillId="0" borderId="48" xfId="0" applyNumberFormat="1" applyFont="1" applyBorder="1" applyAlignment="1">
      <alignment horizontal="left" vertical="center" indent="1"/>
    </xf>
    <xf numFmtId="167" fontId="58" fillId="0" borderId="49" xfId="0" applyNumberFormat="1" applyFont="1" applyBorder="1" applyAlignment="1">
      <alignment horizontal="left" vertical="center" indent="1"/>
    </xf>
    <xf numFmtId="167" fontId="58" fillId="0" borderId="50" xfId="0" applyNumberFormat="1" applyFont="1" applyBorder="1" applyAlignment="1">
      <alignment horizontal="left" vertical="center" indent="1"/>
    </xf>
    <xf numFmtId="167" fontId="58" fillId="0" borderId="51" xfId="0" applyNumberFormat="1" applyFont="1" applyBorder="1" applyAlignment="1">
      <alignment horizontal="left" vertical="center" indent="1"/>
    </xf>
    <xf numFmtId="167" fontId="58" fillId="0" borderId="28" xfId="0" applyNumberFormat="1" applyFont="1" applyBorder="1" applyAlignment="1">
      <alignment horizontal="left" vertical="center" indent="1"/>
    </xf>
    <xf numFmtId="167" fontId="58" fillId="0" borderId="52" xfId="0" applyNumberFormat="1" applyFont="1" applyBorder="1" applyAlignment="1">
      <alignment horizontal="left" vertical="center" indent="1"/>
    </xf>
    <xf numFmtId="167" fontId="58" fillId="0" borderId="41" xfId="0" applyNumberFormat="1" applyFont="1" applyBorder="1" applyAlignment="1">
      <alignment horizontal="left" vertical="center" indent="1"/>
    </xf>
    <xf numFmtId="167" fontId="58" fillId="0" borderId="53" xfId="0" applyNumberFormat="1" applyFont="1" applyBorder="1" applyAlignment="1">
      <alignment horizontal="left" vertical="center" indent="1"/>
    </xf>
    <xf numFmtId="167" fontId="58" fillId="0" borderId="54" xfId="0" applyNumberFormat="1" applyFont="1" applyBorder="1" applyAlignment="1">
      <alignment horizontal="left" vertical="center" indent="1"/>
    </xf>
    <xf numFmtId="167" fontId="58" fillId="0" borderId="55" xfId="0" applyNumberFormat="1" applyFont="1" applyBorder="1" applyAlignment="1">
      <alignment horizontal="left" vertical="center" indent="1"/>
    </xf>
    <xf numFmtId="167" fontId="58" fillId="0" borderId="56" xfId="0" applyNumberFormat="1" applyFont="1" applyBorder="1" applyAlignment="1">
      <alignment horizontal="left" vertical="center" indent="1"/>
    </xf>
    <xf numFmtId="167" fontId="58" fillId="0" borderId="42" xfId="0" applyNumberFormat="1" applyFont="1" applyBorder="1" applyAlignment="1">
      <alignment horizontal="left" vertical="center" indent="1"/>
    </xf>
    <xf numFmtId="167" fontId="58" fillId="0" borderId="57" xfId="0" applyNumberFormat="1" applyFont="1" applyBorder="1" applyAlignment="1">
      <alignment horizontal="left" vertical="center" indent="1"/>
    </xf>
    <xf numFmtId="167" fontId="58" fillId="0" borderId="58" xfId="0" applyNumberFormat="1" applyFont="1" applyBorder="1" applyAlignment="1">
      <alignment horizontal="left" vertical="center" indent="1"/>
    </xf>
    <xf numFmtId="167" fontId="58" fillId="0" borderId="59" xfId="0" applyNumberFormat="1" applyFont="1" applyBorder="1" applyAlignment="1">
      <alignment horizontal="left" vertical="center" indent="1"/>
    </xf>
    <xf numFmtId="0" fontId="66" fillId="0" borderId="0" xfId="0" applyFont="1"/>
    <xf numFmtId="164" fontId="49" fillId="4" borderId="42" xfId="0" applyNumberFormat="1" applyFont="1" applyFill="1" applyBorder="1" applyAlignment="1">
      <alignment horizontal="center" vertical="center" wrapText="1"/>
    </xf>
    <xf numFmtId="164" fontId="58" fillId="2" borderId="15" xfId="0" applyNumberFormat="1" applyFont="1" applyFill="1" applyBorder="1" applyAlignment="1">
      <alignment horizontal="left" vertical="center" indent="1"/>
    </xf>
    <xf numFmtId="164" fontId="58" fillId="0" borderId="15" xfId="0" applyNumberFormat="1" applyFont="1" applyBorder="1" applyAlignment="1">
      <alignment horizontal="left" vertical="center" indent="1"/>
    </xf>
    <xf numFmtId="164" fontId="58" fillId="0" borderId="40" xfId="0" applyNumberFormat="1" applyFont="1" applyBorder="1" applyAlignment="1">
      <alignment horizontal="left" vertical="center" indent="1"/>
    </xf>
    <xf numFmtId="164" fontId="58" fillId="0" borderId="14" xfId="0" applyNumberFormat="1" applyFont="1" applyBorder="1" applyAlignment="1">
      <alignment horizontal="left" vertical="center" indent="1"/>
    </xf>
    <xf numFmtId="165" fontId="22" fillId="2" borderId="30" xfId="0" applyNumberFormat="1" applyFont="1" applyFill="1" applyBorder="1" applyAlignment="1">
      <alignment horizontal="center" vertical="center"/>
    </xf>
    <xf numFmtId="0" fontId="46" fillId="3" borderId="60" xfId="0" applyFont="1" applyFill="1" applyBorder="1" applyAlignment="1">
      <alignment horizontal="center" vertical="center" wrapText="1"/>
    </xf>
    <xf numFmtId="164" fontId="46" fillId="3" borderId="61" xfId="0" applyNumberFormat="1" applyFont="1" applyFill="1" applyBorder="1" applyAlignment="1">
      <alignment horizontal="center" vertical="center"/>
    </xf>
    <xf numFmtId="0" fontId="46" fillId="3" borderId="63" xfId="0" applyFont="1" applyFill="1" applyBorder="1" applyAlignment="1">
      <alignment horizontal="center" vertical="center" wrapText="1"/>
    </xf>
    <xf numFmtId="0" fontId="5" fillId="3" borderId="64" xfId="0" applyFont="1" applyFill="1" applyBorder="1" applyAlignment="1">
      <alignment horizontal="center" vertical="center"/>
    </xf>
    <xf numFmtId="3" fontId="22" fillId="2" borderId="29" xfId="0" applyNumberFormat="1" applyFont="1" applyFill="1" applyBorder="1" applyAlignment="1">
      <alignment horizontal="center" vertical="center"/>
    </xf>
    <xf numFmtId="164" fontId="58" fillId="2" borderId="52" xfId="0" applyNumberFormat="1" applyFont="1" applyFill="1" applyBorder="1" applyAlignment="1">
      <alignment horizontal="left" vertical="center" indent="1"/>
    </xf>
    <xf numFmtId="164" fontId="58" fillId="2" borderId="53" xfId="0" applyNumberFormat="1" applyFont="1" applyFill="1" applyBorder="1" applyAlignment="1">
      <alignment horizontal="left" vertical="center" indent="1"/>
    </xf>
    <xf numFmtId="164" fontId="58" fillId="2" borderId="56" xfId="0" applyNumberFormat="1" applyFont="1" applyFill="1" applyBorder="1" applyAlignment="1">
      <alignment horizontal="left" vertical="center" indent="1"/>
    </xf>
    <xf numFmtId="3" fontId="37" fillId="5" borderId="67" xfId="0" applyNumberFormat="1" applyFont="1" applyFill="1" applyBorder="1" applyAlignment="1">
      <alignment horizontal="center" vertical="center"/>
    </xf>
    <xf numFmtId="3" fontId="37" fillId="6" borderId="68" xfId="0" applyNumberFormat="1" applyFont="1" applyFill="1" applyBorder="1" applyAlignment="1">
      <alignment horizontal="center" vertical="center"/>
    </xf>
    <xf numFmtId="3" fontId="37" fillId="5" borderId="4" xfId="0" applyNumberFormat="1" applyFont="1" applyFill="1" applyBorder="1" applyAlignment="1">
      <alignment horizontal="center" vertical="center"/>
    </xf>
    <xf numFmtId="164" fontId="58" fillId="2" borderId="66" xfId="0" applyNumberFormat="1" applyFont="1" applyFill="1" applyBorder="1" applyAlignment="1">
      <alignment horizontal="center" vertical="center"/>
    </xf>
    <xf numFmtId="164" fontId="58" fillId="2" borderId="68" xfId="0" applyNumberFormat="1" applyFont="1" applyFill="1" applyBorder="1" applyAlignment="1">
      <alignment horizontal="center" vertical="center"/>
    </xf>
    <xf numFmtId="164" fontId="58" fillId="2" borderId="69" xfId="0" applyNumberFormat="1" applyFont="1" applyFill="1" applyBorder="1" applyAlignment="1">
      <alignment horizontal="center" vertical="center"/>
    </xf>
    <xf numFmtId="164" fontId="57" fillId="7" borderId="35" xfId="0" applyNumberFormat="1" applyFont="1" applyFill="1" applyBorder="1" applyAlignment="1">
      <alignment horizontal="center" vertical="center"/>
    </xf>
    <xf numFmtId="164" fontId="57" fillId="7" borderId="16" xfId="0" applyNumberFormat="1" applyFont="1" applyFill="1" applyBorder="1" applyAlignment="1">
      <alignment horizontal="center" vertical="center"/>
    </xf>
    <xf numFmtId="164" fontId="59" fillId="7" borderId="14" xfId="0" applyNumberFormat="1" applyFont="1" applyFill="1" applyBorder="1" applyAlignment="1">
      <alignment horizontal="center" vertical="center"/>
    </xf>
    <xf numFmtId="164" fontId="59" fillId="7" borderId="30" xfId="0" applyNumberFormat="1" applyFont="1" applyFill="1" applyBorder="1" applyAlignment="1">
      <alignment horizontal="center" vertical="center"/>
    </xf>
    <xf numFmtId="164" fontId="57" fillId="7" borderId="22" xfId="0" applyNumberFormat="1" applyFont="1" applyFill="1" applyBorder="1" applyAlignment="1">
      <alignment horizontal="center" vertical="center"/>
    </xf>
    <xf numFmtId="164" fontId="57" fillId="7" borderId="23" xfId="0" applyNumberFormat="1" applyFont="1" applyFill="1" applyBorder="1" applyAlignment="1">
      <alignment horizontal="center" vertical="center"/>
    </xf>
    <xf numFmtId="164" fontId="57" fillId="7" borderId="24" xfId="0" applyNumberFormat="1" applyFont="1" applyFill="1" applyBorder="1" applyAlignment="1">
      <alignment horizontal="center" vertical="center"/>
    </xf>
    <xf numFmtId="164" fontId="57" fillId="7" borderId="20" xfId="0" applyNumberFormat="1" applyFont="1" applyFill="1" applyBorder="1" applyAlignment="1">
      <alignment horizontal="center" vertical="center"/>
    </xf>
    <xf numFmtId="164" fontId="57" fillId="7" borderId="21" xfId="0" applyNumberFormat="1" applyFont="1" applyFill="1" applyBorder="1" applyAlignment="1">
      <alignment horizontal="center" vertical="center"/>
    </xf>
    <xf numFmtId="164" fontId="57" fillId="7" borderId="39" xfId="0" applyNumberFormat="1" applyFont="1" applyFill="1" applyBorder="1" applyAlignment="1">
      <alignment horizontal="center" vertical="center"/>
    </xf>
    <xf numFmtId="164" fontId="57" fillId="7" borderId="33" xfId="0" applyNumberFormat="1" applyFont="1" applyFill="1" applyBorder="1" applyAlignment="1">
      <alignment horizontal="center" vertical="center"/>
    </xf>
    <xf numFmtId="164" fontId="57" fillId="7" borderId="34" xfId="0" applyNumberFormat="1" applyFont="1" applyFill="1" applyBorder="1" applyAlignment="1">
      <alignment horizontal="center" vertical="center"/>
    </xf>
    <xf numFmtId="164" fontId="59" fillId="7" borderId="43" xfId="0" applyNumberFormat="1" applyFont="1" applyFill="1" applyBorder="1" applyAlignment="1">
      <alignment horizontal="center" vertical="center"/>
    </xf>
    <xf numFmtId="164" fontId="59" fillId="7" borderId="44" xfId="0" applyNumberFormat="1" applyFont="1" applyFill="1" applyBorder="1" applyAlignment="1">
      <alignment horizontal="center" vertical="center"/>
    </xf>
    <xf numFmtId="164" fontId="57" fillId="7" borderId="45" xfId="0" applyNumberFormat="1" applyFont="1" applyFill="1" applyBorder="1" applyAlignment="1">
      <alignment horizontal="center" vertical="center"/>
    </xf>
    <xf numFmtId="164" fontId="57" fillId="7" borderId="46" xfId="0" applyNumberFormat="1" applyFont="1" applyFill="1" applyBorder="1" applyAlignment="1">
      <alignment horizontal="center" vertical="center"/>
    </xf>
    <xf numFmtId="164" fontId="57" fillId="7" borderId="14" xfId="0" applyNumberFormat="1" applyFont="1" applyFill="1" applyBorder="1" applyAlignment="1">
      <alignment horizontal="center" vertical="center"/>
    </xf>
    <xf numFmtId="164" fontId="57" fillId="7" borderId="29" xfId="0" applyNumberFormat="1" applyFont="1" applyFill="1" applyBorder="1" applyAlignment="1">
      <alignment horizontal="center" vertical="center"/>
    </xf>
    <xf numFmtId="164" fontId="57" fillId="7" borderId="30" xfId="0" applyNumberFormat="1" applyFont="1" applyFill="1" applyBorder="1" applyAlignment="1">
      <alignment horizontal="center" vertical="center"/>
    </xf>
    <xf numFmtId="164" fontId="59" fillId="7" borderId="24" xfId="0" applyNumberFormat="1" applyFont="1" applyFill="1" applyBorder="1" applyAlignment="1">
      <alignment horizontal="center" vertical="center"/>
    </xf>
    <xf numFmtId="164" fontId="59" fillId="7" borderId="46" xfId="0" applyNumberFormat="1" applyFont="1" applyFill="1" applyBorder="1" applyAlignment="1">
      <alignment horizontal="center" vertical="center"/>
    </xf>
    <xf numFmtId="164" fontId="6" fillId="7" borderId="0" xfId="0" applyNumberFormat="1" applyFont="1" applyFill="1" applyAlignment="1">
      <alignment horizontal="center" vertical="center"/>
    </xf>
    <xf numFmtId="164" fontId="58" fillId="0" borderId="27" xfId="0" applyNumberFormat="1" applyFont="1" applyBorder="1" applyAlignment="1">
      <alignment horizontal="left" vertical="center" indent="1"/>
    </xf>
    <xf numFmtId="167" fontId="58" fillId="0" borderId="55" xfId="0" applyNumberFormat="1" applyFont="1" applyBorder="1" applyAlignment="1">
      <alignment horizontal="left" vertical="center"/>
    </xf>
    <xf numFmtId="167" fontId="58" fillId="0" borderId="70" xfId="0" applyNumberFormat="1" applyFont="1" applyBorder="1" applyAlignment="1">
      <alignment horizontal="left" vertical="center"/>
    </xf>
    <xf numFmtId="3" fontId="22" fillId="2" borderId="35" xfId="0" applyNumberFormat="1" applyFont="1" applyFill="1" applyBorder="1" applyAlignment="1">
      <alignment horizontal="center" vertical="center"/>
    </xf>
    <xf numFmtId="165" fontId="22" fillId="2" borderId="46" xfId="0" applyNumberFormat="1" applyFont="1" applyFill="1" applyBorder="1" applyAlignment="1">
      <alignment horizontal="center" vertical="center"/>
    </xf>
    <xf numFmtId="164" fontId="58" fillId="0" borderId="45" xfId="0" applyNumberFormat="1" applyFont="1" applyBorder="1" applyAlignment="1">
      <alignment horizontal="left" vertical="center" indent="1"/>
    </xf>
    <xf numFmtId="164" fontId="58" fillId="2" borderId="27" xfId="0" applyNumberFormat="1" applyFont="1" applyFill="1" applyBorder="1" applyAlignment="1">
      <alignment horizontal="left" vertical="center" indent="1"/>
    </xf>
    <xf numFmtId="164" fontId="22" fillId="2" borderId="16" xfId="0" applyNumberFormat="1" applyFont="1" applyFill="1" applyBorder="1" applyAlignment="1">
      <alignment horizontal="center" vertical="center"/>
    </xf>
    <xf numFmtId="164" fontId="22" fillId="2" borderId="28" xfId="0" applyNumberFormat="1" applyFont="1" applyFill="1" applyBorder="1" applyAlignment="1">
      <alignment horizontal="center" vertical="center"/>
    </xf>
    <xf numFmtId="164" fontId="22" fillId="2" borderId="42" xfId="0" applyNumberFormat="1" applyFont="1" applyFill="1" applyBorder="1" applyAlignment="1">
      <alignment horizontal="center" vertical="center"/>
    </xf>
    <xf numFmtId="164" fontId="22" fillId="2" borderId="18" xfId="0" applyNumberFormat="1" applyFont="1" applyFill="1" applyBorder="1" applyAlignment="1">
      <alignment horizontal="center" vertical="center"/>
    </xf>
    <xf numFmtId="164" fontId="22" fillId="2" borderId="23" xfId="0" applyNumberFormat="1" applyFont="1" applyFill="1" applyBorder="1" applyAlignment="1">
      <alignment horizontal="center" vertical="center"/>
    </xf>
    <xf numFmtId="167" fontId="58" fillId="0" borderId="53" xfId="0" applyNumberFormat="1" applyFont="1" applyBorder="1" applyAlignment="1">
      <alignment horizontal="left" vertical="center"/>
    </xf>
    <xf numFmtId="167" fontId="58" fillId="0" borderId="28" xfId="0" applyNumberFormat="1" applyFont="1" applyBorder="1" applyAlignment="1">
      <alignment horizontal="left" vertical="center"/>
    </xf>
    <xf numFmtId="164" fontId="19" fillId="4" borderId="36" xfId="0" applyNumberFormat="1" applyFont="1" applyFill="1" applyBorder="1" applyAlignment="1">
      <alignment horizontal="center" vertical="center"/>
    </xf>
    <xf numFmtId="164" fontId="19" fillId="4" borderId="37" xfId="0" applyNumberFormat="1" applyFont="1" applyFill="1" applyBorder="1" applyAlignment="1">
      <alignment horizontal="center" vertical="center"/>
    </xf>
    <xf numFmtId="164" fontId="19" fillId="4" borderId="38" xfId="0" applyNumberFormat="1" applyFont="1" applyFill="1" applyBorder="1" applyAlignment="1">
      <alignment horizontal="center" vertical="center"/>
    </xf>
    <xf numFmtId="167" fontId="58" fillId="0" borderId="56" xfId="0" applyNumberFormat="1" applyFont="1" applyBorder="1" applyAlignment="1">
      <alignment horizontal="left" vertical="center"/>
    </xf>
    <xf numFmtId="167" fontId="58" fillId="0" borderId="42" xfId="0" applyNumberFormat="1" applyFont="1" applyBorder="1" applyAlignment="1">
      <alignment horizontal="left" vertical="center"/>
    </xf>
    <xf numFmtId="0" fontId="12" fillId="0" borderId="14" xfId="0" applyFont="1" applyBorder="1" applyAlignment="1">
      <alignment horizontal="left" vertical="center" indent="1"/>
    </xf>
    <xf numFmtId="0" fontId="12" fillId="0" borderId="29" xfId="0" applyFont="1" applyBorder="1" applyAlignment="1">
      <alignment horizontal="left" vertical="center" indent="1"/>
    </xf>
    <xf numFmtId="0" fontId="34" fillId="0" borderId="29" xfId="0" applyFont="1" applyBorder="1" applyAlignment="1">
      <alignment horizontal="center"/>
    </xf>
    <xf numFmtId="167" fontId="58" fillId="0" borderId="52" xfId="0" applyNumberFormat="1" applyFont="1" applyBorder="1" applyAlignment="1">
      <alignment horizontal="left" vertical="center"/>
    </xf>
    <xf numFmtId="167" fontId="58" fillId="0" borderId="41" xfId="0" applyNumberFormat="1" applyFont="1" applyBorder="1" applyAlignment="1">
      <alignment horizontal="left" vertical="center"/>
    </xf>
    <xf numFmtId="164" fontId="54" fillId="7" borderId="20" xfId="0" applyNumberFormat="1" applyFont="1" applyFill="1" applyBorder="1" applyAlignment="1">
      <alignment horizontal="center" vertical="center" wrapText="1"/>
    </xf>
    <xf numFmtId="164" fontId="54" fillId="7" borderId="16" xfId="0" applyNumberFormat="1" applyFont="1" applyFill="1" applyBorder="1" applyAlignment="1">
      <alignment horizontal="center" vertical="center" wrapText="1"/>
    </xf>
    <xf numFmtId="164" fontId="54" fillId="7" borderId="21" xfId="0" applyNumberFormat="1" applyFont="1" applyFill="1" applyBorder="1" applyAlignment="1">
      <alignment horizontal="center" vertical="center" wrapText="1"/>
    </xf>
    <xf numFmtId="164" fontId="54" fillId="7" borderId="20" xfId="0" applyNumberFormat="1" applyFont="1" applyFill="1" applyBorder="1" applyAlignment="1">
      <alignment horizontal="center" vertical="center"/>
    </xf>
    <xf numFmtId="164" fontId="54" fillId="7" borderId="16" xfId="0" applyNumberFormat="1" applyFont="1" applyFill="1" applyBorder="1" applyAlignment="1">
      <alignment horizontal="center" vertical="center"/>
    </xf>
    <xf numFmtId="164" fontId="54" fillId="7" borderId="21" xfId="0" applyNumberFormat="1" applyFont="1" applyFill="1" applyBorder="1" applyAlignment="1">
      <alignment horizontal="center" vertical="center"/>
    </xf>
    <xf numFmtId="0" fontId="12" fillId="0" borderId="17" xfId="0" applyFont="1" applyBorder="1" applyAlignment="1">
      <alignment horizontal="left" vertical="center" indent="1"/>
    </xf>
    <xf numFmtId="0" fontId="12" fillId="0" borderId="18" xfId="0" applyFont="1" applyBorder="1" applyAlignment="1">
      <alignment horizontal="left" vertical="center" indent="1"/>
    </xf>
    <xf numFmtId="49" fontId="14" fillId="0" borderId="18" xfId="2" applyNumberFormat="1" applyFont="1" applyBorder="1" applyAlignment="1" applyProtection="1">
      <alignment horizontal="center" vertical="center"/>
      <protection locked="0"/>
    </xf>
    <xf numFmtId="164" fontId="58" fillId="3" borderId="13" xfId="0" applyNumberFormat="1" applyFont="1" applyFill="1" applyBorder="1" applyAlignment="1">
      <alignment horizontal="center" vertical="center"/>
    </xf>
    <xf numFmtId="0" fontId="31" fillId="0" borderId="14" xfId="3" applyFont="1" applyBorder="1" applyAlignment="1">
      <alignment horizontal="left" vertical="center"/>
    </xf>
    <xf numFmtId="0" fontId="31" fillId="0" borderId="29" xfId="3" applyFont="1" applyBorder="1" applyAlignment="1">
      <alignment horizontal="left" vertical="center"/>
    </xf>
    <xf numFmtId="164" fontId="54" fillId="7" borderId="51" xfId="0" applyNumberFormat="1" applyFont="1" applyFill="1" applyBorder="1" applyAlignment="1">
      <alignment horizontal="center" vertical="center"/>
    </xf>
    <xf numFmtId="164" fontId="54" fillId="7" borderId="57" xfId="0" applyNumberFormat="1" applyFont="1" applyFill="1" applyBorder="1" applyAlignment="1">
      <alignment horizontal="center" vertical="center"/>
    </xf>
    <xf numFmtId="164" fontId="54" fillId="7" borderId="28" xfId="0" applyNumberFormat="1" applyFont="1" applyFill="1" applyBorder="1" applyAlignment="1">
      <alignment horizontal="center" vertical="center"/>
    </xf>
    <xf numFmtId="0" fontId="12" fillId="0" borderId="22" xfId="0" applyFont="1" applyBorder="1" applyAlignment="1">
      <alignment horizontal="left" vertical="center" indent="1"/>
    </xf>
    <xf numFmtId="0" fontId="12" fillId="0" borderId="23" xfId="0" applyFont="1" applyBorder="1" applyAlignment="1">
      <alignment horizontal="left" vertical="center" indent="1"/>
    </xf>
    <xf numFmtId="49" fontId="14" fillId="0" borderId="23" xfId="2" applyNumberFormat="1" applyFont="1" applyBorder="1" applyAlignment="1" applyProtection="1">
      <alignment horizontal="center" vertical="center"/>
      <protection locked="0"/>
    </xf>
    <xf numFmtId="164" fontId="19" fillId="4" borderId="0" xfId="0" applyNumberFormat="1" applyFont="1" applyFill="1" applyAlignment="1">
      <alignment horizontal="center" vertical="center"/>
    </xf>
    <xf numFmtId="0" fontId="60" fillId="3" borderId="13" xfId="0" applyFont="1" applyFill="1" applyBorder="1" applyAlignment="1">
      <alignment horizontal="center" vertical="center"/>
    </xf>
    <xf numFmtId="164" fontId="47" fillId="2" borderId="14" xfId="0" applyNumberFormat="1" applyFont="1" applyFill="1" applyBorder="1" applyAlignment="1">
      <alignment horizontal="center" vertical="center"/>
    </xf>
    <xf numFmtId="164" fontId="47" fillId="2" borderId="33" xfId="0" applyNumberFormat="1" applyFont="1" applyFill="1" applyBorder="1" applyAlignment="1">
      <alignment horizontal="center" vertical="center"/>
    </xf>
    <xf numFmtId="164" fontId="47" fillId="2" borderId="29" xfId="0" applyNumberFormat="1" applyFont="1" applyFill="1" applyBorder="1" applyAlignment="1">
      <alignment horizontal="center" vertical="center"/>
    </xf>
    <xf numFmtId="164" fontId="47" fillId="2" borderId="34" xfId="0" applyNumberFormat="1" applyFont="1" applyFill="1" applyBorder="1" applyAlignment="1">
      <alignment horizontal="center" vertical="center"/>
    </xf>
    <xf numFmtId="164" fontId="46" fillId="2" borderId="0" xfId="0" applyNumberFormat="1" applyFont="1" applyFill="1" applyAlignment="1">
      <alignment horizontal="center" vertical="center"/>
    </xf>
    <xf numFmtId="49" fontId="14" fillId="0" borderId="24" xfId="2" applyNumberFormat="1" applyFont="1" applyBorder="1" applyAlignment="1" applyProtection="1">
      <alignment horizontal="center" vertical="center"/>
      <protection locked="0"/>
    </xf>
    <xf numFmtId="14" fontId="14" fillId="0" borderId="18" xfId="2" applyNumberFormat="1" applyFont="1" applyBorder="1" applyAlignment="1" applyProtection="1">
      <alignment horizontal="center" vertical="center"/>
      <protection locked="0"/>
    </xf>
    <xf numFmtId="14" fontId="14" fillId="0" borderId="19" xfId="2" applyNumberFormat="1" applyFont="1" applyBorder="1" applyAlignment="1" applyProtection="1">
      <alignment horizontal="center" vertical="center"/>
      <protection locked="0"/>
    </xf>
    <xf numFmtId="0" fontId="29" fillId="0" borderId="0" xfId="0" applyFont="1" applyAlignment="1">
      <alignment horizontal="left" vertical="center"/>
    </xf>
    <xf numFmtId="14" fontId="34" fillId="0" borderId="29" xfId="0" applyNumberFormat="1" applyFont="1" applyBorder="1" applyAlignment="1">
      <alignment horizontal="center"/>
    </xf>
    <xf numFmtId="0" fontId="34" fillId="0" borderId="30" xfId="0" applyFont="1" applyBorder="1" applyAlignment="1">
      <alignment horizontal="center"/>
    </xf>
    <xf numFmtId="49" fontId="57" fillId="0" borderId="23" xfId="2" applyNumberFormat="1" applyFont="1" applyBorder="1" applyAlignment="1" applyProtection="1">
      <alignment horizontal="center" vertical="center"/>
      <protection locked="0"/>
    </xf>
    <xf numFmtId="49" fontId="57" fillId="0" borderId="24" xfId="2" applyNumberFormat="1" applyFont="1" applyBorder="1" applyAlignment="1" applyProtection="1">
      <alignment horizontal="center" vertical="center"/>
      <protection locked="0"/>
    </xf>
    <xf numFmtId="164" fontId="61" fillId="2" borderId="17" xfId="0" applyNumberFormat="1" applyFont="1" applyFill="1" applyBorder="1" applyAlignment="1">
      <alignment horizontal="center" vertical="center"/>
    </xf>
    <xf numFmtId="164" fontId="61" fillId="2" borderId="18" xfId="0" applyNumberFormat="1" applyFont="1" applyFill="1" applyBorder="1" applyAlignment="1">
      <alignment horizontal="center" vertical="center"/>
    </xf>
    <xf numFmtId="164" fontId="61" fillId="2" borderId="19" xfId="0" applyNumberFormat="1" applyFont="1" applyFill="1" applyBorder="1" applyAlignment="1">
      <alignment horizontal="center" vertical="center"/>
    </xf>
    <xf numFmtId="0" fontId="54" fillId="0" borderId="17" xfId="0" applyFont="1" applyBorder="1" applyAlignment="1">
      <alignment horizontal="left" vertical="center" indent="1"/>
    </xf>
    <xf numFmtId="0" fontId="54" fillId="0" borderId="18" xfId="0" applyFont="1" applyBorder="1" applyAlignment="1">
      <alignment horizontal="left" vertical="center" indent="1"/>
    </xf>
    <xf numFmtId="49" fontId="57" fillId="0" borderId="18" xfId="2" applyNumberFormat="1" applyFont="1" applyBorder="1" applyAlignment="1" applyProtection="1">
      <alignment horizontal="center" vertical="center"/>
      <protection locked="0"/>
    </xf>
    <xf numFmtId="14" fontId="57" fillId="0" borderId="18" xfId="2" applyNumberFormat="1" applyFont="1" applyBorder="1" applyAlignment="1" applyProtection="1">
      <alignment horizontal="center" vertical="center"/>
      <protection locked="0"/>
    </xf>
    <xf numFmtId="14" fontId="57" fillId="0" borderId="19" xfId="2" applyNumberFormat="1" applyFont="1" applyBorder="1" applyAlignment="1" applyProtection="1">
      <alignment horizontal="center" vertical="center"/>
      <protection locked="0"/>
    </xf>
    <xf numFmtId="0" fontId="54" fillId="0" borderId="22" xfId="0" applyFont="1" applyBorder="1" applyAlignment="1">
      <alignment horizontal="left" vertical="center" indent="1"/>
    </xf>
    <xf numFmtId="0" fontId="54" fillId="0" borderId="23" xfId="0" applyFont="1" applyBorder="1" applyAlignment="1">
      <alignment horizontal="left" vertical="center" indent="1"/>
    </xf>
    <xf numFmtId="164" fontId="57" fillId="7" borderId="20" xfId="0" applyNumberFormat="1" applyFont="1" applyFill="1" applyBorder="1" applyAlignment="1">
      <alignment horizontal="center" vertical="center"/>
    </xf>
    <xf numFmtId="164" fontId="57" fillId="7" borderId="16" xfId="0" applyNumberFormat="1" applyFont="1" applyFill="1" applyBorder="1" applyAlignment="1">
      <alignment horizontal="center" vertical="center"/>
    </xf>
    <xf numFmtId="164" fontId="57" fillId="7" borderId="21" xfId="0" applyNumberFormat="1" applyFont="1" applyFill="1" applyBorder="1" applyAlignment="1">
      <alignment horizontal="center" vertical="center"/>
    </xf>
    <xf numFmtId="164" fontId="57" fillId="7" borderId="20" xfId="0" applyNumberFormat="1" applyFont="1" applyFill="1" applyBorder="1" applyAlignment="1">
      <alignment horizontal="center" vertical="center" wrapText="1"/>
    </xf>
    <xf numFmtId="164" fontId="57" fillId="7" borderId="16" xfId="0" applyNumberFormat="1" applyFont="1" applyFill="1" applyBorder="1" applyAlignment="1">
      <alignment horizontal="center" vertical="center" wrapText="1"/>
    </xf>
    <xf numFmtId="164" fontId="57" fillId="7" borderId="21" xfId="0" applyNumberFormat="1" applyFont="1" applyFill="1" applyBorder="1" applyAlignment="1">
      <alignment horizontal="center" vertical="center" wrapText="1"/>
    </xf>
    <xf numFmtId="14" fontId="57" fillId="0" borderId="29" xfId="0" applyNumberFormat="1" applyFont="1" applyBorder="1" applyAlignment="1">
      <alignment horizontal="center"/>
    </xf>
    <xf numFmtId="0" fontId="57" fillId="0" borderId="29" xfId="0" applyFont="1" applyBorder="1" applyAlignment="1">
      <alignment horizontal="center"/>
    </xf>
    <xf numFmtId="0" fontId="57" fillId="0" borderId="30" xfId="0" applyFont="1" applyBorder="1" applyAlignment="1">
      <alignment horizontal="center"/>
    </xf>
    <xf numFmtId="0" fontId="65" fillId="0" borderId="0" xfId="0" applyFont="1" applyAlignment="1">
      <alignment horizontal="left" vertical="center"/>
    </xf>
    <xf numFmtId="0" fontId="63" fillId="0" borderId="14" xfId="3" applyFont="1" applyBorder="1" applyAlignment="1">
      <alignment horizontal="left" vertical="center"/>
    </xf>
    <xf numFmtId="0" fontId="63" fillId="0" borderId="29" xfId="3" applyFont="1" applyBorder="1" applyAlignment="1">
      <alignment horizontal="left" vertical="center"/>
    </xf>
    <xf numFmtId="0" fontId="54" fillId="0" borderId="14" xfId="0" applyFont="1" applyBorder="1" applyAlignment="1">
      <alignment horizontal="left" vertical="center" indent="1"/>
    </xf>
    <xf numFmtId="0" fontId="54" fillId="0" borderId="29" xfId="0" applyFont="1" applyBorder="1" applyAlignment="1">
      <alignment horizontal="left" vertical="center" indent="1"/>
    </xf>
    <xf numFmtId="0" fontId="0" fillId="0" borderId="1" xfId="0" applyBorder="1" applyAlignment="1">
      <alignment horizontal="center" vertical="center"/>
    </xf>
    <xf numFmtId="164" fontId="19" fillId="4" borderId="17" xfId="0" applyNumberFormat="1" applyFont="1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67" fillId="7" borderId="16" xfId="0" applyFont="1" applyFill="1" applyBorder="1" applyAlignment="1">
      <alignment horizontal="center" vertical="center"/>
    </xf>
    <xf numFmtId="0" fontId="67" fillId="7" borderId="21" xfId="0" applyFont="1" applyFill="1" applyBorder="1" applyAlignment="1">
      <alignment horizontal="center" vertical="center"/>
    </xf>
    <xf numFmtId="164" fontId="46" fillId="3" borderId="61" xfId="0" applyNumberFormat="1" applyFont="1" applyFill="1" applyBorder="1" applyAlignment="1">
      <alignment horizontal="center" vertical="center"/>
    </xf>
    <xf numFmtId="164" fontId="46" fillId="3" borderId="62" xfId="0" applyNumberFormat="1" applyFont="1" applyFill="1" applyBorder="1" applyAlignment="1">
      <alignment horizontal="center" vertical="center"/>
    </xf>
    <xf numFmtId="0" fontId="5" fillId="3" borderId="64" xfId="0" applyFont="1" applyFill="1" applyBorder="1" applyAlignment="1">
      <alignment horizontal="center" vertical="center"/>
    </xf>
    <xf numFmtId="0" fontId="5" fillId="3" borderId="65" xfId="0" applyFont="1" applyFill="1" applyBorder="1" applyAlignment="1">
      <alignment horizontal="center" vertical="center"/>
    </xf>
    <xf numFmtId="164" fontId="61" fillId="2" borderId="41" xfId="0" applyNumberFormat="1" applyFont="1" applyFill="1" applyBorder="1" applyAlignment="1">
      <alignment horizontal="center" vertical="center"/>
    </xf>
    <xf numFmtId="164" fontId="19" fillId="4" borderId="18" xfId="0" applyNumberFormat="1" applyFont="1" applyFill="1" applyBorder="1" applyAlignment="1">
      <alignment horizontal="center" vertical="center"/>
    </xf>
    <xf numFmtId="164" fontId="19" fillId="4" borderId="19" xfId="0" applyNumberFormat="1" applyFont="1" applyFill="1" applyBorder="1" applyAlignment="1">
      <alignment horizontal="center" vertical="center"/>
    </xf>
    <xf numFmtId="164" fontId="46" fillId="3" borderId="13" xfId="0" applyNumberFormat="1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</cellXfs>
  <cellStyles count="5">
    <cellStyle name="Comma" xfId="1" builtinId="3"/>
    <cellStyle name="Normal" xfId="0" builtinId="0"/>
    <cellStyle name="Normal 2" xfId="3" xr:uid="{00000000-0005-0000-0000-000002000000}"/>
    <cellStyle name="Normal 3" xfId="4" xr:uid="{DF148454-6DDC-4FC4-8A6E-1BE25E54824D}"/>
    <cellStyle name="Normal_Zoning 0.1" xfId="2" xr:uid="{00000000-0005-0000-0000-000003000000}"/>
  </cellStyles>
  <dxfs count="79">
    <dxf>
      <numFmt numFmtId="170" formatCode="[$€-1809]#,##0.000"/>
    </dxf>
    <dxf>
      <numFmt numFmtId="170" formatCode="[$€-1809]#,##0.000"/>
    </dxf>
    <dxf>
      <numFmt numFmtId="170" formatCode="[$€-1809]#,##0.000"/>
    </dxf>
    <dxf>
      <font>
        <color theme="0"/>
      </font>
    </dxf>
    <dxf>
      <numFmt numFmtId="170" formatCode="[$€-1809]#,##0.000"/>
    </dxf>
    <dxf>
      <numFmt numFmtId="170" formatCode="[$€-1809]#,##0.000"/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7AAD"/>
        </patternFill>
      </fill>
    </dxf>
    <dxf>
      <font>
        <color theme="0"/>
      </font>
      <fill>
        <patternFill>
          <bgColor rgb="FF259AC4"/>
        </patternFill>
      </fill>
    </dxf>
    <dxf>
      <numFmt numFmtId="170" formatCode="[$€-1809]#,##0.000"/>
    </dxf>
    <dxf>
      <numFmt numFmtId="170" formatCode="[$€-1809]#,##0.000"/>
    </dxf>
    <dxf>
      <font>
        <color theme="0"/>
      </font>
    </dxf>
    <dxf>
      <numFmt numFmtId="170" formatCode="[$€-1809]#,##0.000"/>
    </dxf>
    <dxf>
      <numFmt numFmtId="170" formatCode="[$€-1809]#,##0.000"/>
    </dxf>
    <dxf>
      <font>
        <color theme="0"/>
      </font>
      <fill>
        <patternFill>
          <bgColor rgb="FFC07AAD"/>
        </patternFill>
      </fill>
    </dxf>
    <dxf>
      <font>
        <color theme="0"/>
      </font>
      <fill>
        <patternFill>
          <bgColor rgb="FF259AC4"/>
        </patternFill>
      </fill>
    </dxf>
    <dxf>
      <font>
        <color rgb="FF9C0006"/>
      </font>
      <fill>
        <patternFill>
          <bgColor rgb="FFFFC7CE"/>
        </patternFill>
      </fill>
    </dxf>
    <dxf>
      <numFmt numFmtId="170" formatCode="[$€-1809]#,##0.000"/>
    </dxf>
    <dxf>
      <numFmt numFmtId="170" formatCode="[$€-1809]#,##0.000"/>
    </dxf>
    <dxf>
      <numFmt numFmtId="170" formatCode="[$€-1809]#,##0.000"/>
    </dxf>
    <dxf>
      <numFmt numFmtId="170" formatCode="[$€-1809]#,##0.000"/>
    </dxf>
    <dxf>
      <numFmt numFmtId="170" formatCode="[$€-1809]#,##0.000"/>
    </dxf>
    <dxf>
      <numFmt numFmtId="170" formatCode="[$€-1809]#,##0.000"/>
    </dxf>
    <dxf>
      <numFmt numFmtId="170" formatCode="[$€-1809]#,##0.000"/>
    </dxf>
    <dxf>
      <font>
        <color theme="0"/>
      </font>
    </dxf>
    <dxf>
      <font>
        <color theme="0"/>
      </font>
      <fill>
        <patternFill>
          <bgColor rgb="FFC07AAD"/>
        </patternFill>
      </fill>
    </dxf>
    <dxf>
      <font>
        <color theme="0"/>
      </font>
      <fill>
        <patternFill>
          <bgColor rgb="FF259AC4"/>
        </patternFill>
      </fill>
    </dxf>
    <dxf>
      <font>
        <color theme="0"/>
      </font>
      <fill>
        <patternFill>
          <bgColor rgb="FF009999"/>
        </patternFill>
      </fill>
    </dxf>
    <dxf>
      <font>
        <color theme="0"/>
      </font>
      <fill>
        <patternFill>
          <bgColor rgb="FFC07AAD"/>
        </patternFill>
      </fill>
    </dxf>
    <dxf>
      <font>
        <color theme="0"/>
      </font>
      <fill>
        <patternFill>
          <bgColor rgb="FF259AC4"/>
        </patternFill>
      </fill>
    </dxf>
    <dxf>
      <font>
        <color theme="0"/>
      </font>
      <fill>
        <patternFill>
          <bgColor rgb="FF009999"/>
        </patternFill>
      </fill>
    </dxf>
    <dxf>
      <numFmt numFmtId="170" formatCode="[$€-1809]#,##0.000"/>
    </dxf>
    <dxf>
      <numFmt numFmtId="170" formatCode="[$€-1809]#,##0.000"/>
    </dxf>
    <dxf>
      <font>
        <color theme="0"/>
      </font>
      <fill>
        <patternFill>
          <bgColor rgb="FFC07AAD"/>
        </patternFill>
      </fill>
    </dxf>
    <dxf>
      <font>
        <color theme="0"/>
      </font>
      <fill>
        <patternFill>
          <bgColor rgb="FF259AC4"/>
        </patternFill>
      </fill>
    </dxf>
    <dxf>
      <font>
        <color theme="0"/>
      </font>
      <fill>
        <patternFill>
          <bgColor rgb="FF009999"/>
        </patternFill>
      </fill>
    </dxf>
    <dxf>
      <font>
        <color theme="0"/>
      </font>
      <fill>
        <patternFill>
          <bgColor rgb="FFC07AAD"/>
        </patternFill>
      </fill>
    </dxf>
    <dxf>
      <font>
        <color theme="0"/>
      </font>
      <fill>
        <patternFill>
          <bgColor rgb="FF259AC4"/>
        </patternFill>
      </fill>
    </dxf>
    <dxf>
      <font>
        <color theme="0"/>
      </font>
      <fill>
        <patternFill>
          <bgColor rgb="FF009999"/>
        </patternFill>
      </fill>
    </dxf>
    <dxf>
      <numFmt numFmtId="170" formatCode="[$€-1809]#,##0.000"/>
    </dxf>
    <dxf>
      <numFmt numFmtId="170" formatCode="[$€-1809]#,##0.000"/>
    </dxf>
    <dxf>
      <numFmt numFmtId="170" formatCode="[$€-1809]#,##0.000"/>
    </dxf>
    <dxf>
      <font>
        <color theme="0"/>
      </font>
      <fill>
        <patternFill>
          <bgColor rgb="FFC07AAD"/>
        </patternFill>
      </fill>
    </dxf>
    <dxf>
      <font>
        <color theme="0"/>
      </font>
      <fill>
        <patternFill>
          <bgColor rgb="FF259AC4"/>
        </patternFill>
      </fill>
    </dxf>
    <dxf>
      <font>
        <color theme="0"/>
      </font>
      <fill>
        <patternFill>
          <bgColor rgb="FF009999"/>
        </patternFill>
      </fill>
    </dxf>
    <dxf>
      <font>
        <color theme="0"/>
      </font>
      <fill>
        <patternFill>
          <bgColor rgb="FFC07AAD"/>
        </patternFill>
      </fill>
    </dxf>
    <dxf>
      <font>
        <color theme="0"/>
      </font>
      <fill>
        <patternFill>
          <bgColor rgb="FF259AC4"/>
        </patternFill>
      </fill>
    </dxf>
    <dxf>
      <font>
        <color theme="0"/>
      </font>
      <fill>
        <patternFill>
          <bgColor rgb="FF009999"/>
        </patternFill>
      </fill>
    </dxf>
    <dxf>
      <numFmt numFmtId="170" formatCode="[$€-1809]#,##0.000"/>
    </dxf>
    <dxf>
      <numFmt numFmtId="170" formatCode="[$€-1809]#,##0.000"/>
    </dxf>
    <dxf>
      <numFmt numFmtId="170" formatCode="[$€-1809]#,##0.000"/>
    </dxf>
    <dxf>
      <numFmt numFmtId="170" formatCode="[$€-1809]#,##0.000"/>
    </dxf>
    <dxf>
      <numFmt numFmtId="170" formatCode="[$€-1809]#,##0.000"/>
    </dxf>
    <dxf>
      <numFmt numFmtId="170" formatCode="[$€-1809]#,##0.000"/>
    </dxf>
    <dxf>
      <numFmt numFmtId="170" formatCode="[$€-1809]#,##0.000"/>
    </dxf>
    <dxf>
      <font>
        <color theme="0"/>
      </font>
    </dxf>
    <dxf>
      <font>
        <color theme="0"/>
      </font>
      <fill>
        <patternFill>
          <bgColor rgb="FFC07AAD"/>
        </patternFill>
      </fill>
    </dxf>
    <dxf>
      <font>
        <color theme="0"/>
      </font>
      <fill>
        <patternFill>
          <bgColor rgb="FF259AC4"/>
        </patternFill>
      </fill>
    </dxf>
    <dxf>
      <font>
        <color theme="0"/>
      </font>
      <fill>
        <patternFill>
          <bgColor rgb="FF009999"/>
        </patternFill>
      </fill>
    </dxf>
    <dxf>
      <font>
        <color theme="0"/>
      </font>
      <fill>
        <patternFill>
          <bgColor rgb="FFC07AAD"/>
        </patternFill>
      </fill>
    </dxf>
    <dxf>
      <font>
        <color theme="0"/>
      </font>
      <fill>
        <patternFill>
          <bgColor rgb="FF259AC4"/>
        </patternFill>
      </fill>
    </dxf>
    <dxf>
      <font>
        <color theme="0"/>
      </font>
      <fill>
        <patternFill>
          <bgColor rgb="FF009999"/>
        </patternFill>
      </fill>
    </dxf>
    <dxf>
      <numFmt numFmtId="170" formatCode="[$€-1809]#,##0.000"/>
    </dxf>
    <dxf>
      <numFmt numFmtId="170" formatCode="[$€-1809]#,##0.000"/>
    </dxf>
    <dxf>
      <font>
        <color theme="0"/>
      </font>
      <fill>
        <patternFill>
          <bgColor rgb="FFC07AAD"/>
        </patternFill>
      </fill>
    </dxf>
    <dxf>
      <font>
        <color theme="0"/>
      </font>
      <fill>
        <patternFill>
          <bgColor rgb="FF259AC4"/>
        </patternFill>
      </fill>
    </dxf>
    <dxf>
      <font>
        <color theme="0"/>
      </font>
      <fill>
        <patternFill>
          <bgColor rgb="FF009999"/>
        </patternFill>
      </fill>
    </dxf>
    <dxf>
      <font>
        <color theme="0"/>
      </font>
      <fill>
        <patternFill>
          <bgColor rgb="FFC07AAD"/>
        </patternFill>
      </fill>
    </dxf>
    <dxf>
      <font>
        <color theme="0"/>
      </font>
      <fill>
        <patternFill>
          <bgColor rgb="FF259AC4"/>
        </patternFill>
      </fill>
    </dxf>
    <dxf>
      <font>
        <color theme="0"/>
      </font>
      <fill>
        <patternFill>
          <bgColor rgb="FF009999"/>
        </patternFill>
      </fill>
    </dxf>
    <dxf>
      <numFmt numFmtId="170" formatCode="[$€-1809]#,##0.000"/>
    </dxf>
    <dxf>
      <numFmt numFmtId="170" formatCode="[$€-1809]#,##0.000"/>
    </dxf>
    <dxf>
      <numFmt numFmtId="170" formatCode="[$€-1809]#,##0.000"/>
    </dxf>
    <dxf>
      <font>
        <color theme="0"/>
      </font>
      <fill>
        <patternFill>
          <bgColor rgb="FFC07AAD"/>
        </patternFill>
      </fill>
    </dxf>
    <dxf>
      <font>
        <color theme="0"/>
      </font>
      <fill>
        <patternFill>
          <bgColor rgb="FF259AC4"/>
        </patternFill>
      </fill>
    </dxf>
    <dxf>
      <font>
        <color theme="0"/>
      </font>
      <fill>
        <patternFill>
          <bgColor rgb="FF009999"/>
        </patternFill>
      </fill>
    </dxf>
    <dxf>
      <font>
        <color theme="0"/>
      </font>
      <fill>
        <patternFill>
          <bgColor rgb="FFC07AAD"/>
        </patternFill>
      </fill>
    </dxf>
    <dxf>
      <font>
        <color theme="0"/>
      </font>
      <fill>
        <patternFill>
          <bgColor rgb="FF259AC4"/>
        </patternFill>
      </fill>
    </dxf>
    <dxf>
      <font>
        <color theme="0"/>
      </font>
      <fill>
        <patternFill>
          <bgColor rgb="FF009999"/>
        </patternFill>
      </fill>
    </dxf>
  </dxfs>
  <tableStyles count="0" defaultTableStyle="TableStyleMedium2" defaultPivotStyle="PivotStyleLight16"/>
  <colors>
    <mruColors>
      <color rgb="FF5F6A72"/>
      <color rgb="FFD9E6E8"/>
      <color rgb="FF00759B"/>
      <color rgb="FF4B8570"/>
      <color rgb="FF93D358"/>
      <color rgb="FF009999"/>
      <color rgb="FF4982A6"/>
      <color rgb="FFE0BCC5"/>
      <color rgb="FF8D4D99"/>
      <color rgb="FF4484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1</xdr:row>
      <xdr:rowOff>0</xdr:rowOff>
    </xdr:from>
    <xdr:to>
      <xdr:col>16</xdr:col>
      <xdr:colOff>662080</xdr:colOff>
      <xdr:row>3</xdr:row>
      <xdr:rowOff>45596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E46782A-0856-4129-ABB8-50ED76F1BB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55506" y="53788"/>
          <a:ext cx="1450974" cy="64623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49</xdr:row>
      <xdr:rowOff>0</xdr:rowOff>
    </xdr:from>
    <xdr:to>
      <xdr:col>16</xdr:col>
      <xdr:colOff>662080</xdr:colOff>
      <xdr:row>51</xdr:row>
      <xdr:rowOff>108350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DFF9BFE-9AB4-460B-9641-52C49997D5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55506" y="9278471"/>
          <a:ext cx="1450974" cy="646232"/>
        </a:xfrm>
        <a:prstGeom prst="rect">
          <a:avLst/>
        </a:prstGeom>
      </xdr:spPr>
    </xdr:pic>
    <xdr:clientData/>
  </xdr:twoCellAnchor>
  <xdr:twoCellAnchor editAs="oneCell">
    <xdr:from>
      <xdr:col>15</xdr:col>
      <xdr:colOff>121920</xdr:colOff>
      <xdr:row>99</xdr:row>
      <xdr:rowOff>15240</xdr:rowOff>
    </xdr:from>
    <xdr:to>
      <xdr:col>17</xdr:col>
      <xdr:colOff>2950</xdr:colOff>
      <xdr:row>102</xdr:row>
      <xdr:rowOff>54449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DCB24BF-F4BE-470E-AFE4-DF9DE104C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20500" y="18425160"/>
          <a:ext cx="1427890" cy="656429"/>
        </a:xfrm>
        <a:prstGeom prst="rect">
          <a:avLst/>
        </a:prstGeom>
      </xdr:spPr>
    </xdr:pic>
    <xdr:clientData/>
  </xdr:twoCellAnchor>
  <xdr:twoCellAnchor editAs="oneCell">
    <xdr:from>
      <xdr:col>15</xdr:col>
      <xdr:colOff>76200</xdr:colOff>
      <xdr:row>154</xdr:row>
      <xdr:rowOff>152400</xdr:rowOff>
    </xdr:from>
    <xdr:to>
      <xdr:col>16</xdr:col>
      <xdr:colOff>738280</xdr:colOff>
      <xdr:row>156</xdr:row>
      <xdr:rowOff>101514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0D41DF8-BA2E-4E39-98ED-846D3E71B8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74780" y="28735020"/>
          <a:ext cx="1446940" cy="65015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1</xdr:row>
      <xdr:rowOff>0</xdr:rowOff>
    </xdr:from>
    <xdr:to>
      <xdr:col>16</xdr:col>
      <xdr:colOff>662080</xdr:colOff>
      <xdr:row>3</xdr:row>
      <xdr:rowOff>45596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334BCB3-06B9-4C6E-B2E5-F748E2AE0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55506" y="53788"/>
          <a:ext cx="1450974" cy="64623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49</xdr:row>
      <xdr:rowOff>0</xdr:rowOff>
    </xdr:from>
    <xdr:to>
      <xdr:col>16</xdr:col>
      <xdr:colOff>662080</xdr:colOff>
      <xdr:row>51</xdr:row>
      <xdr:rowOff>108349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EFCF110-94FD-4F13-B5E7-84342A216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55506" y="9278471"/>
          <a:ext cx="1450974" cy="64623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102</xdr:row>
      <xdr:rowOff>0</xdr:rowOff>
    </xdr:from>
    <xdr:to>
      <xdr:col>16</xdr:col>
      <xdr:colOff>662080</xdr:colOff>
      <xdr:row>103</xdr:row>
      <xdr:rowOff>317899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C27A4FB-5903-4477-B50B-9ECACD826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55506" y="19238259"/>
          <a:ext cx="1450974" cy="646232"/>
        </a:xfrm>
        <a:prstGeom prst="rect">
          <a:avLst/>
        </a:prstGeom>
      </xdr:spPr>
    </xdr:pic>
    <xdr:clientData/>
  </xdr:twoCellAnchor>
  <xdr:twoCellAnchor editAs="oneCell">
    <xdr:from>
      <xdr:col>15</xdr:col>
      <xdr:colOff>38100</xdr:colOff>
      <xdr:row>154</xdr:row>
      <xdr:rowOff>15240</xdr:rowOff>
    </xdr:from>
    <xdr:to>
      <xdr:col>16</xdr:col>
      <xdr:colOff>700180</xdr:colOff>
      <xdr:row>156</xdr:row>
      <xdr:rowOff>3798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1194357-6E62-403A-9F76-D79D1D7CA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36680" y="28628340"/>
          <a:ext cx="1446940" cy="64387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1</xdr:row>
      <xdr:rowOff>0</xdr:rowOff>
    </xdr:from>
    <xdr:to>
      <xdr:col>16</xdr:col>
      <xdr:colOff>666114</xdr:colOff>
      <xdr:row>3</xdr:row>
      <xdr:rowOff>67112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100D09E-3A08-40C8-89AB-2FEE4E3F3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98580" y="53340"/>
          <a:ext cx="1450974" cy="64623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28</xdr:row>
      <xdr:rowOff>0</xdr:rowOff>
    </xdr:from>
    <xdr:to>
      <xdr:col>16</xdr:col>
      <xdr:colOff>666114</xdr:colOff>
      <xdr:row>30</xdr:row>
      <xdr:rowOff>112832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ED7C808-6BD9-446D-9799-4B6FD818E8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98580" y="9326880"/>
          <a:ext cx="1450974" cy="6462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1</xdr:row>
      <xdr:rowOff>0</xdr:rowOff>
    </xdr:from>
    <xdr:to>
      <xdr:col>16</xdr:col>
      <xdr:colOff>666114</xdr:colOff>
      <xdr:row>3</xdr:row>
      <xdr:rowOff>67112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55AA879-F2B7-4078-82DC-E0027D936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98580" y="53340"/>
          <a:ext cx="1450974" cy="64623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28</xdr:row>
      <xdr:rowOff>0</xdr:rowOff>
    </xdr:from>
    <xdr:to>
      <xdr:col>16</xdr:col>
      <xdr:colOff>666114</xdr:colOff>
      <xdr:row>30</xdr:row>
      <xdr:rowOff>112832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D3CF16B-10DA-4815-9C65-F20ADF992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98580" y="9326880"/>
          <a:ext cx="1450974" cy="64623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LPUK%20IM%20Country%20Sort%20Pre-Alert%202012-01-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l Pre-Alert"/>
      <sheetName val="M-Bags Pre-Alert"/>
      <sheetName val="Pallet Label"/>
      <sheetName val="Data"/>
    </sheetNames>
    <sheetDataSet>
      <sheetData sheetId="0"/>
      <sheetData sheetId="1"/>
      <sheetData sheetId="2"/>
      <sheetData sheetId="3">
        <row r="2">
          <cell r="A2" t="str">
            <v>Priority</v>
          </cell>
        </row>
        <row r="3">
          <cell r="A3" t="str">
            <v>Standard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848E"/>
    <pageSetUpPr fitToPage="1"/>
  </sheetPr>
  <dimension ref="A1:AG260"/>
  <sheetViews>
    <sheetView showGridLines="0" showRowColHeaders="0" tabSelected="1" zoomScale="89" zoomScaleNormal="89" zoomScaleSheetLayoutView="85" workbookViewId="0">
      <selection activeCell="N13" sqref="N13"/>
    </sheetView>
  </sheetViews>
  <sheetFormatPr defaultColWidth="0" defaultRowHeight="0" customHeight="1" zeroHeight="1" x14ac:dyDescent="0.25"/>
  <cols>
    <col min="1" max="1" width="0.85546875" style="6" customWidth="1"/>
    <col min="2" max="2" width="18" style="6" customWidth="1"/>
    <col min="3" max="5" width="11.42578125" style="45" customWidth="1"/>
    <col min="6" max="7" width="11.42578125" style="6" customWidth="1"/>
    <col min="8" max="10" width="11.42578125" style="45" customWidth="1"/>
    <col min="11" max="12" width="11.42578125" style="6" customWidth="1"/>
    <col min="13" max="15" width="11.42578125" style="45" customWidth="1"/>
    <col min="16" max="17" width="11.42578125" style="6" customWidth="1"/>
    <col min="18" max="18" width="1.42578125" style="45" customWidth="1"/>
    <col min="19" max="20" width="8.140625" style="6" hidden="1" customWidth="1"/>
    <col min="21" max="21" width="12.140625" style="45" hidden="1" customWidth="1"/>
    <col min="22" max="23" width="8.140625" style="6" hidden="1" customWidth="1"/>
    <col min="24" max="24" width="12.140625" style="45" hidden="1" customWidth="1"/>
    <col min="25" max="26" width="8.140625" style="6" hidden="1" customWidth="1"/>
    <col min="27" max="27" width="0.85546875" style="6" hidden="1" customWidth="1"/>
    <col min="28" max="16384" width="9.140625" style="6" hidden="1"/>
  </cols>
  <sheetData>
    <row r="1" spans="1:31" s="1" customFormat="1" ht="4.5" customHeight="1" thickBot="1" x14ac:dyDescent="0.3">
      <c r="B1" s="1" t="s">
        <v>13</v>
      </c>
      <c r="C1" s="2"/>
      <c r="D1" s="2"/>
      <c r="E1" s="2"/>
      <c r="F1" s="3"/>
      <c r="G1" s="3"/>
      <c r="H1" s="4"/>
      <c r="I1" s="4"/>
      <c r="J1" s="4"/>
      <c r="K1" s="3"/>
      <c r="L1" s="3"/>
      <c r="M1" s="4"/>
      <c r="N1" s="5"/>
      <c r="O1" s="5"/>
      <c r="P1" s="5"/>
      <c r="Q1" s="5"/>
      <c r="R1" s="4"/>
      <c r="S1" s="3"/>
      <c r="T1" s="3"/>
      <c r="U1" s="4"/>
      <c r="V1" s="3"/>
      <c r="W1" s="3"/>
      <c r="X1" s="4"/>
      <c r="Y1" s="3"/>
      <c r="Z1" s="3"/>
      <c r="AA1" s="3"/>
    </row>
    <row r="2" spans="1:31" ht="18.75" thickBot="1" x14ac:dyDescent="0.3">
      <c r="B2" s="7"/>
      <c r="C2" s="8"/>
      <c r="D2" s="8"/>
      <c r="E2" s="8"/>
      <c r="F2" s="8"/>
      <c r="G2" s="276" t="s">
        <v>485</v>
      </c>
      <c r="H2" s="277"/>
      <c r="I2" s="278"/>
      <c r="J2" s="279"/>
      <c r="K2" s="276" t="s">
        <v>486</v>
      </c>
      <c r="L2" s="277"/>
      <c r="M2" s="278"/>
      <c r="N2" s="279"/>
      <c r="O2"/>
      <c r="P2"/>
      <c r="Q2"/>
      <c r="R2" s="8"/>
      <c r="S2" s="8"/>
      <c r="T2" s="8"/>
      <c r="U2" s="8"/>
      <c r="V2" s="8"/>
      <c r="W2" s="8"/>
      <c r="X2" s="8"/>
      <c r="Y2" s="8"/>
      <c r="Z2" s="8"/>
    </row>
    <row r="3" spans="1:31" s="9" customFormat="1" ht="29.25" customHeight="1" thickBot="1" x14ac:dyDescent="0.3">
      <c r="B3" s="109" t="s">
        <v>819</v>
      </c>
      <c r="C3" s="10"/>
      <c r="D3" s="10"/>
      <c r="E3" s="10"/>
      <c r="G3" s="132" t="s">
        <v>487</v>
      </c>
      <c r="H3" s="134" t="s">
        <v>488</v>
      </c>
      <c r="I3" s="133" t="s">
        <v>489</v>
      </c>
      <c r="J3" s="135"/>
      <c r="K3" s="133" t="s">
        <v>490</v>
      </c>
      <c r="L3" s="134" t="s">
        <v>488</v>
      </c>
      <c r="M3" s="133" t="s">
        <v>491</v>
      </c>
      <c r="N3" s="136"/>
      <c r="O3"/>
      <c r="P3"/>
      <c r="Q3"/>
      <c r="R3" s="11"/>
      <c r="U3" s="11"/>
      <c r="X3" s="11"/>
    </row>
    <row r="4" spans="1:31" ht="15" x14ac:dyDescent="0.25">
      <c r="B4" s="12" t="s">
        <v>822</v>
      </c>
      <c r="C4" s="13"/>
      <c r="D4" s="13"/>
      <c r="E4" s="13"/>
      <c r="F4" s="8"/>
      <c r="G4" s="280" t="s">
        <v>492</v>
      </c>
      <c r="H4" s="280"/>
      <c r="I4" s="280"/>
      <c r="J4" s="280"/>
      <c r="K4" s="280"/>
      <c r="L4" s="280"/>
      <c r="M4" s="280"/>
      <c r="N4" s="280"/>
      <c r="O4"/>
      <c r="P4"/>
      <c r="Q4"/>
      <c r="R4" s="8"/>
      <c r="S4" s="8"/>
      <c r="T4" s="8"/>
      <c r="U4" s="8"/>
      <c r="V4" s="8"/>
      <c r="W4" s="8"/>
      <c r="X4" s="8"/>
      <c r="Y4" s="8"/>
      <c r="Z4" s="8"/>
    </row>
    <row r="5" spans="1:31" ht="15.75" thickBot="1" x14ac:dyDescent="0.3">
      <c r="B5" s="14"/>
      <c r="C5" s="13"/>
      <c r="D5" s="13"/>
      <c r="E5" s="13"/>
      <c r="F5" s="8"/>
      <c r="G5" s="8"/>
      <c r="H5" s="8"/>
      <c r="I5" s="8"/>
      <c r="J5" s="8"/>
      <c r="K5" s="8"/>
      <c r="L5" s="8"/>
      <c r="M5" s="8"/>
      <c r="N5" s="8"/>
      <c r="O5"/>
      <c r="P5"/>
      <c r="Q5"/>
      <c r="R5" s="8"/>
      <c r="S5" s="8"/>
      <c r="T5" s="8"/>
      <c r="U5" s="8"/>
      <c r="V5" s="8"/>
      <c r="W5" s="8"/>
      <c r="X5" s="8"/>
      <c r="Y5" s="8"/>
      <c r="Z5" s="8"/>
    </row>
    <row r="6" spans="1:31" ht="14.25" customHeight="1" x14ac:dyDescent="0.25">
      <c r="B6" s="262" t="s">
        <v>0</v>
      </c>
      <c r="C6" s="263"/>
      <c r="D6" s="264" t="s">
        <v>852</v>
      </c>
      <c r="E6" s="264"/>
      <c r="F6" s="264"/>
      <c r="G6" s="263" t="s">
        <v>1</v>
      </c>
      <c r="H6" s="263"/>
      <c r="I6" s="264"/>
      <c r="J6" s="264"/>
      <c r="K6" s="264"/>
      <c r="L6" s="263" t="s">
        <v>2</v>
      </c>
      <c r="M6" s="263"/>
      <c r="N6" s="282"/>
      <c r="O6" s="282"/>
      <c r="P6" s="282"/>
      <c r="Q6" s="283"/>
      <c r="R6" s="8"/>
      <c r="S6" s="8"/>
      <c r="T6" s="8"/>
      <c r="U6" s="8"/>
      <c r="V6" s="8"/>
      <c r="W6" s="8"/>
      <c r="X6" s="8"/>
      <c r="Y6" s="8"/>
      <c r="Z6" s="8"/>
    </row>
    <row r="7" spans="1:31" ht="14.25" customHeight="1" thickBot="1" x14ac:dyDescent="0.3">
      <c r="B7" s="271" t="s">
        <v>3</v>
      </c>
      <c r="C7" s="272"/>
      <c r="D7" s="273"/>
      <c r="E7" s="273"/>
      <c r="F7" s="273"/>
      <c r="G7" s="272" t="s">
        <v>4</v>
      </c>
      <c r="H7" s="272"/>
      <c r="I7" s="273"/>
      <c r="J7" s="273"/>
      <c r="K7" s="273"/>
      <c r="L7" s="272" t="s">
        <v>5</v>
      </c>
      <c r="M7" s="272"/>
      <c r="N7" s="273" t="s">
        <v>853</v>
      </c>
      <c r="O7" s="273"/>
      <c r="P7" s="273"/>
      <c r="Q7" s="281"/>
      <c r="R7" s="8"/>
      <c r="S7" s="8"/>
      <c r="T7" s="8"/>
      <c r="U7" s="8"/>
      <c r="V7" s="8"/>
      <c r="W7" s="8"/>
      <c r="X7" s="8"/>
      <c r="Y7" s="8"/>
      <c r="Z7" s="8"/>
    </row>
    <row r="8" spans="1:31" ht="14.25" customHeight="1" x14ac:dyDescent="0.25">
      <c r="B8" s="15"/>
      <c r="C8" s="103"/>
      <c r="D8" s="104"/>
      <c r="E8" s="103"/>
      <c r="F8" s="103"/>
      <c r="G8" s="17"/>
      <c r="H8" s="17"/>
      <c r="I8" s="18"/>
      <c r="J8" s="18"/>
      <c r="K8" s="18"/>
      <c r="L8" s="17"/>
      <c r="M8" s="17"/>
      <c r="N8" s="18"/>
      <c r="O8" s="18"/>
      <c r="P8" s="18"/>
      <c r="Q8" s="18"/>
      <c r="R8" s="8"/>
      <c r="S8" s="8"/>
      <c r="T8" s="8"/>
      <c r="U8" s="8"/>
      <c r="V8" s="8"/>
      <c r="W8" s="8"/>
      <c r="X8" s="8"/>
      <c r="Y8" s="8"/>
      <c r="Z8" s="8"/>
    </row>
    <row r="9" spans="1:31" s="19" customFormat="1" ht="14.25" customHeight="1" x14ac:dyDescent="0.25">
      <c r="B9" s="20"/>
      <c r="C9" s="21"/>
      <c r="D9" s="21" t="s">
        <v>6</v>
      </c>
      <c r="E9" s="21"/>
      <c r="F9" s="22"/>
      <c r="G9" s="22" t="s">
        <v>6</v>
      </c>
      <c r="H9" s="23"/>
      <c r="I9" s="23" t="s">
        <v>7</v>
      </c>
      <c r="J9" s="23"/>
      <c r="K9" s="22"/>
      <c r="L9" s="22" t="s">
        <v>7</v>
      </c>
      <c r="M9" s="23"/>
      <c r="N9" s="23" t="s">
        <v>8</v>
      </c>
      <c r="O9" s="23"/>
      <c r="P9" s="22"/>
      <c r="Q9" s="22" t="s">
        <v>8</v>
      </c>
      <c r="R9" s="23"/>
      <c r="S9" s="22"/>
      <c r="T9" s="22"/>
      <c r="U9" s="23"/>
      <c r="V9" s="22"/>
      <c r="W9" s="22"/>
      <c r="X9" s="23"/>
      <c r="Y9"/>
      <c r="Z9"/>
      <c r="AA9"/>
      <c r="AB9"/>
      <c r="AC9"/>
      <c r="AD9"/>
      <c r="AE9"/>
    </row>
    <row r="10" spans="1:31" s="25" customFormat="1" ht="18" x14ac:dyDescent="0.25">
      <c r="A10" s="24"/>
      <c r="C10" s="274" t="s">
        <v>9</v>
      </c>
      <c r="D10" s="274"/>
      <c r="E10" s="274"/>
      <c r="F10" s="274"/>
      <c r="G10"/>
      <c r="H10" s="274" t="s">
        <v>9</v>
      </c>
      <c r="I10" s="274"/>
      <c r="J10" s="274"/>
      <c r="K10" s="274"/>
      <c r="L10"/>
      <c r="M10" s="274" t="s">
        <v>9</v>
      </c>
      <c r="N10" s="274"/>
      <c r="O10" s="274"/>
      <c r="P10" s="274"/>
      <c r="Q10"/>
      <c r="R10" s="26"/>
      <c r="S10" s="26"/>
      <c r="T10" s="26"/>
      <c r="U10" s="26"/>
      <c r="V10" s="26"/>
      <c r="W10" s="26"/>
      <c r="X10" s="26"/>
      <c r="Y10"/>
      <c r="Z10"/>
      <c r="AA10"/>
      <c r="AB10"/>
      <c r="AC10"/>
      <c r="AD10"/>
      <c r="AE10"/>
    </row>
    <row r="11" spans="1:31" ht="15.75" customHeight="1" x14ac:dyDescent="0.25">
      <c r="A11" s="27"/>
      <c r="C11" s="268" t="s">
        <v>10</v>
      </c>
      <c r="D11" s="269"/>
      <c r="E11" s="269"/>
      <c r="F11" s="270"/>
      <c r="G11"/>
      <c r="H11" s="257" t="s">
        <v>11</v>
      </c>
      <c r="I11" s="257"/>
      <c r="J11" s="257"/>
      <c r="K11" s="257"/>
      <c r="L11"/>
      <c r="M11" s="257" t="s">
        <v>12</v>
      </c>
      <c r="N11" s="257"/>
      <c r="O11" s="257"/>
      <c r="P11" s="257"/>
      <c r="Q11"/>
      <c r="R11" s="28"/>
      <c r="T11" s="28"/>
      <c r="U11"/>
      <c r="V11"/>
      <c r="W11"/>
      <c r="X11" s="29"/>
      <c r="Y11"/>
      <c r="Z11"/>
      <c r="AA11"/>
      <c r="AB11"/>
      <c r="AC11"/>
      <c r="AD11"/>
      <c r="AE11"/>
    </row>
    <row r="12" spans="1:31" ht="15.75" thickBot="1" x14ac:dyDescent="0.3">
      <c r="A12" s="27"/>
      <c r="B12" s="30"/>
      <c r="C12" s="210" t="s">
        <v>14</v>
      </c>
      <c r="D12" s="210" t="s">
        <v>15</v>
      </c>
      <c r="E12" s="211" t="s">
        <v>16</v>
      </c>
      <c r="F12" s="211" t="s">
        <v>17</v>
      </c>
      <c r="G12"/>
      <c r="H12" s="211" t="s">
        <v>14</v>
      </c>
      <c r="I12" s="211" t="s">
        <v>15</v>
      </c>
      <c r="J12" s="211" t="s">
        <v>16</v>
      </c>
      <c r="K12" s="211" t="s">
        <v>17</v>
      </c>
      <c r="L12"/>
      <c r="M12" s="211" t="s">
        <v>14</v>
      </c>
      <c r="N12" s="211" t="s">
        <v>15</v>
      </c>
      <c r="O12" s="211" t="s">
        <v>16</v>
      </c>
      <c r="P12" s="211" t="s">
        <v>17</v>
      </c>
      <c r="Q12"/>
      <c r="R12" s="31"/>
      <c r="T12" s="32"/>
      <c r="U12"/>
      <c r="V12"/>
      <c r="W12"/>
      <c r="X12" s="31"/>
      <c r="Y12" t="s">
        <v>809</v>
      </c>
      <c r="Z12"/>
      <c r="AA12"/>
      <c r="AB12"/>
      <c r="AC12"/>
      <c r="AD12"/>
      <c r="AE12"/>
    </row>
    <row r="13" spans="1:31" ht="15" x14ac:dyDescent="0.25">
      <c r="A13" s="34" t="s">
        <v>18</v>
      </c>
      <c r="B13" s="201" t="s">
        <v>19</v>
      </c>
      <c r="C13" s="207" t="s">
        <v>20</v>
      </c>
      <c r="D13" s="206" t="s">
        <v>816</v>
      </c>
      <c r="E13" s="155"/>
      <c r="F13" s="156"/>
      <c r="G13"/>
      <c r="H13" s="131" t="s">
        <v>21</v>
      </c>
      <c r="I13" s="206" t="s">
        <v>816</v>
      </c>
      <c r="J13" s="155"/>
      <c r="K13" s="156"/>
      <c r="L13"/>
      <c r="M13" s="131" t="s">
        <v>21</v>
      </c>
      <c r="N13" s="205" t="s">
        <v>815</v>
      </c>
      <c r="O13" s="129"/>
      <c r="P13" s="130"/>
      <c r="Q13"/>
      <c r="R13" s="8"/>
      <c r="T13" s="35" t="s">
        <v>18</v>
      </c>
      <c r="U13"/>
      <c r="V13" t="s">
        <v>18</v>
      </c>
      <c r="W13"/>
      <c r="X13" s="36"/>
      <c r="Y13" t="s">
        <v>19</v>
      </c>
      <c r="Z13"/>
      <c r="AA13"/>
      <c r="AB13" t="str">
        <f>IF(Y13=B13,"TRUE","FALSE")</f>
        <v>TRUE</v>
      </c>
      <c r="AC13"/>
      <c r="AD13"/>
      <c r="AE13"/>
    </row>
    <row r="14" spans="1:31" ht="15" x14ac:dyDescent="0.25">
      <c r="A14" s="34" t="s">
        <v>22</v>
      </c>
      <c r="B14" s="202" t="s">
        <v>23</v>
      </c>
      <c r="C14" s="208" t="s">
        <v>20</v>
      </c>
      <c r="D14" s="206" t="s">
        <v>816</v>
      </c>
      <c r="E14" s="146"/>
      <c r="F14" s="151"/>
      <c r="G14"/>
      <c r="H14" s="124" t="s">
        <v>21</v>
      </c>
      <c r="I14" s="205" t="s">
        <v>815</v>
      </c>
      <c r="J14" s="146"/>
      <c r="K14" s="151"/>
      <c r="L14"/>
      <c r="M14" s="125" t="s">
        <v>21</v>
      </c>
      <c r="N14" s="205" t="s">
        <v>815</v>
      </c>
      <c r="O14" s="111"/>
      <c r="P14" s="113"/>
      <c r="Q14"/>
      <c r="R14" s="8"/>
      <c r="T14" s="37" t="s">
        <v>22</v>
      </c>
      <c r="U14"/>
      <c r="V14" t="s">
        <v>22</v>
      </c>
      <c r="W14"/>
      <c r="X14" s="36"/>
      <c r="Y14" t="s">
        <v>23</v>
      </c>
      <c r="Z14"/>
      <c r="AA14"/>
      <c r="AB14" t="str">
        <f t="shared" ref="AB14:AB39" si="0">IF(Y14=B14,"TRUE","FALSE")</f>
        <v>TRUE</v>
      </c>
      <c r="AC14"/>
      <c r="AD14"/>
      <c r="AE14"/>
    </row>
    <row r="15" spans="1:31" ht="15" x14ac:dyDescent="0.25">
      <c r="A15" s="34" t="s">
        <v>24</v>
      </c>
      <c r="B15" s="202" t="s">
        <v>25</v>
      </c>
      <c r="C15" s="208" t="s">
        <v>20</v>
      </c>
      <c r="D15" s="205" t="s">
        <v>815</v>
      </c>
      <c r="E15" s="146"/>
      <c r="F15" s="151"/>
      <c r="G15"/>
      <c r="H15" s="125" t="s">
        <v>21</v>
      </c>
      <c r="I15" s="205" t="s">
        <v>815</v>
      </c>
      <c r="J15" s="146"/>
      <c r="K15" s="151"/>
      <c r="L15"/>
      <c r="M15" s="125" t="s">
        <v>21</v>
      </c>
      <c r="N15" s="205" t="s">
        <v>815</v>
      </c>
      <c r="O15" s="111"/>
      <c r="P15" s="113"/>
      <c r="Q15"/>
      <c r="R15" s="8"/>
      <c r="T15" s="37" t="s">
        <v>24</v>
      </c>
      <c r="U15"/>
      <c r="V15" t="s">
        <v>24</v>
      </c>
      <c r="W15"/>
      <c r="X15" s="36"/>
      <c r="Y15" t="s">
        <v>25</v>
      </c>
      <c r="Z15"/>
      <c r="AA15"/>
      <c r="AB15" t="str">
        <f t="shared" si="0"/>
        <v>TRUE</v>
      </c>
      <c r="AC15"/>
      <c r="AD15"/>
      <c r="AE15"/>
    </row>
    <row r="16" spans="1:31" ht="15" x14ac:dyDescent="0.25">
      <c r="A16" s="34" t="s">
        <v>26</v>
      </c>
      <c r="B16" s="202" t="s">
        <v>27</v>
      </c>
      <c r="C16" s="208" t="s">
        <v>20</v>
      </c>
      <c r="D16" s="205" t="s">
        <v>815</v>
      </c>
      <c r="E16" s="146"/>
      <c r="F16" s="151"/>
      <c r="G16"/>
      <c r="H16" s="125" t="s">
        <v>21</v>
      </c>
      <c r="I16" s="205" t="s">
        <v>815</v>
      </c>
      <c r="J16" s="146"/>
      <c r="K16" s="151"/>
      <c r="L16"/>
      <c r="M16" s="125" t="s">
        <v>21</v>
      </c>
      <c r="N16" s="205" t="s">
        <v>815</v>
      </c>
      <c r="O16" s="111"/>
      <c r="P16" s="113"/>
      <c r="Q16"/>
      <c r="R16" s="8"/>
      <c r="T16" s="37" t="s">
        <v>26</v>
      </c>
      <c r="U16"/>
      <c r="V16" t="s">
        <v>26</v>
      </c>
      <c r="W16"/>
      <c r="X16" s="36"/>
      <c r="Y16" t="s">
        <v>27</v>
      </c>
      <c r="Z16"/>
      <c r="AA16"/>
      <c r="AB16" t="str">
        <f t="shared" si="0"/>
        <v>TRUE</v>
      </c>
      <c r="AC16"/>
      <c r="AD16"/>
      <c r="AE16"/>
    </row>
    <row r="17" spans="1:31" ht="15" x14ac:dyDescent="0.25">
      <c r="A17" s="34" t="s">
        <v>28</v>
      </c>
      <c r="B17" s="202" t="s">
        <v>29</v>
      </c>
      <c r="C17" s="208" t="s">
        <v>20</v>
      </c>
      <c r="D17" s="205" t="s">
        <v>815</v>
      </c>
      <c r="E17" s="146"/>
      <c r="F17" s="151"/>
      <c r="G17"/>
      <c r="H17" s="125" t="s">
        <v>32</v>
      </c>
      <c r="I17" s="205" t="s">
        <v>815</v>
      </c>
      <c r="J17" s="146"/>
      <c r="K17" s="151"/>
      <c r="L17"/>
      <c r="M17" s="125" t="s">
        <v>21</v>
      </c>
      <c r="N17" s="205" t="s">
        <v>815</v>
      </c>
      <c r="O17" s="111"/>
      <c r="P17" s="113"/>
      <c r="Q17"/>
      <c r="R17" s="8"/>
      <c r="T17" s="37" t="s">
        <v>28</v>
      </c>
      <c r="U17"/>
      <c r="V17" t="s">
        <v>28</v>
      </c>
      <c r="W17"/>
      <c r="X17" s="36"/>
      <c r="Y17" t="s">
        <v>29</v>
      </c>
      <c r="Z17"/>
      <c r="AA17"/>
      <c r="AB17" t="str">
        <f>IF(Y17=B17,"TRUE","FALSE")</f>
        <v>TRUE</v>
      </c>
      <c r="AC17"/>
      <c r="AD17"/>
      <c r="AE17"/>
    </row>
    <row r="18" spans="1:31" ht="15" x14ac:dyDescent="0.25">
      <c r="A18" s="34" t="s">
        <v>30</v>
      </c>
      <c r="B18" s="202" t="s">
        <v>31</v>
      </c>
      <c r="C18" s="208" t="s">
        <v>20</v>
      </c>
      <c r="D18" s="205" t="s">
        <v>815</v>
      </c>
      <c r="E18" s="146"/>
      <c r="F18" s="151"/>
      <c r="G18"/>
      <c r="H18" s="125" t="s">
        <v>21</v>
      </c>
      <c r="I18" s="205" t="s">
        <v>815</v>
      </c>
      <c r="J18" s="146"/>
      <c r="K18" s="151"/>
      <c r="L18"/>
      <c r="M18" s="125" t="s">
        <v>21</v>
      </c>
      <c r="N18" s="205" t="s">
        <v>815</v>
      </c>
      <c r="O18" s="111"/>
      <c r="P18" s="113"/>
      <c r="Q18"/>
      <c r="R18" s="8"/>
      <c r="T18" s="37" t="s">
        <v>30</v>
      </c>
      <c r="U18"/>
      <c r="V18" t="s">
        <v>30</v>
      </c>
      <c r="W18"/>
      <c r="X18" s="36"/>
      <c r="Y18" t="s">
        <v>31</v>
      </c>
      <c r="Z18"/>
      <c r="AA18"/>
      <c r="AB18" t="str">
        <f t="shared" si="0"/>
        <v>TRUE</v>
      </c>
      <c r="AC18"/>
      <c r="AD18"/>
      <c r="AE18"/>
    </row>
    <row r="19" spans="1:31" ht="15" x14ac:dyDescent="0.25">
      <c r="A19" s="34" t="s">
        <v>33</v>
      </c>
      <c r="B19" s="202" t="s">
        <v>34</v>
      </c>
      <c r="C19" s="208" t="s">
        <v>20</v>
      </c>
      <c r="D19" s="205" t="s">
        <v>815</v>
      </c>
      <c r="E19" s="146"/>
      <c r="F19" s="151"/>
      <c r="G19"/>
      <c r="H19" s="125" t="s">
        <v>21</v>
      </c>
      <c r="I19" s="205" t="s">
        <v>815</v>
      </c>
      <c r="J19" s="146"/>
      <c r="K19" s="151"/>
      <c r="L19"/>
      <c r="M19" s="125" t="s">
        <v>21</v>
      </c>
      <c r="N19" s="205" t="s">
        <v>815</v>
      </c>
      <c r="O19" s="111"/>
      <c r="P19" s="113"/>
      <c r="Q19"/>
      <c r="R19" s="8"/>
      <c r="T19" s="37" t="s">
        <v>33</v>
      </c>
      <c r="U19"/>
      <c r="V19" t="s">
        <v>33</v>
      </c>
      <c r="W19"/>
      <c r="X19" s="36"/>
      <c r="Y19" t="s">
        <v>34</v>
      </c>
      <c r="Z19"/>
      <c r="AA19"/>
      <c r="AB19" t="str">
        <f t="shared" si="0"/>
        <v>TRUE</v>
      </c>
      <c r="AC19"/>
      <c r="AD19"/>
      <c r="AE19"/>
    </row>
    <row r="20" spans="1:31" ht="15" x14ac:dyDescent="0.25">
      <c r="A20" s="34" t="s">
        <v>35</v>
      </c>
      <c r="B20" s="202" t="s">
        <v>36</v>
      </c>
      <c r="C20" s="208" t="s">
        <v>20</v>
      </c>
      <c r="D20" s="205" t="s">
        <v>815</v>
      </c>
      <c r="E20" s="146"/>
      <c r="F20" s="151"/>
      <c r="G20"/>
      <c r="H20" s="125" t="s">
        <v>21</v>
      </c>
      <c r="I20" s="205" t="s">
        <v>815</v>
      </c>
      <c r="J20" s="146"/>
      <c r="K20" s="151"/>
      <c r="L20"/>
      <c r="M20" s="125" t="s">
        <v>21</v>
      </c>
      <c r="N20" s="205" t="s">
        <v>815</v>
      </c>
      <c r="O20" s="111"/>
      <c r="P20" s="113"/>
      <c r="Q20"/>
      <c r="R20" s="8"/>
      <c r="T20" s="37" t="s">
        <v>35</v>
      </c>
      <c r="U20"/>
      <c r="V20" t="s">
        <v>35</v>
      </c>
      <c r="W20"/>
      <c r="X20" s="36"/>
      <c r="Y20" s="108" t="s">
        <v>36</v>
      </c>
      <c r="Z20"/>
      <c r="AA20"/>
      <c r="AB20" t="str">
        <f t="shared" si="0"/>
        <v>TRUE</v>
      </c>
      <c r="AC20"/>
      <c r="AD20"/>
      <c r="AE20"/>
    </row>
    <row r="21" spans="1:31" ht="15" x14ac:dyDescent="0.25">
      <c r="A21" s="34" t="s">
        <v>37</v>
      </c>
      <c r="B21" s="202" t="s">
        <v>38</v>
      </c>
      <c r="C21" s="208" t="s">
        <v>20</v>
      </c>
      <c r="D21" s="206" t="s">
        <v>816</v>
      </c>
      <c r="E21" s="146"/>
      <c r="F21" s="151"/>
      <c r="G21"/>
      <c r="H21" s="125" t="s">
        <v>21</v>
      </c>
      <c r="I21" s="205" t="s">
        <v>815</v>
      </c>
      <c r="J21" s="146"/>
      <c r="K21" s="151"/>
      <c r="L21"/>
      <c r="M21" s="125" t="s">
        <v>21</v>
      </c>
      <c r="N21" s="205" t="s">
        <v>815</v>
      </c>
      <c r="O21" s="111"/>
      <c r="P21" s="113"/>
      <c r="Q21"/>
      <c r="R21" s="8"/>
      <c r="T21" s="37" t="s">
        <v>37</v>
      </c>
      <c r="U21"/>
      <c r="V21" t="s">
        <v>37</v>
      </c>
      <c r="W21"/>
      <c r="X21" s="36"/>
      <c r="Y21" t="s">
        <v>38</v>
      </c>
      <c r="Z21"/>
      <c r="AA21"/>
      <c r="AB21" t="str">
        <f t="shared" si="0"/>
        <v>TRUE</v>
      </c>
      <c r="AC21"/>
      <c r="AD21"/>
      <c r="AE21"/>
    </row>
    <row r="22" spans="1:31" ht="15" x14ac:dyDescent="0.25">
      <c r="A22" s="34" t="s">
        <v>39</v>
      </c>
      <c r="B22" s="202" t="s">
        <v>40</v>
      </c>
      <c r="C22" s="208" t="s">
        <v>20</v>
      </c>
      <c r="D22" s="205" t="s">
        <v>815</v>
      </c>
      <c r="E22" s="146"/>
      <c r="F22" s="151"/>
      <c r="G22"/>
      <c r="H22" s="125" t="s">
        <v>21</v>
      </c>
      <c r="I22" s="205" t="s">
        <v>815</v>
      </c>
      <c r="J22" s="146"/>
      <c r="K22" s="151"/>
      <c r="L22"/>
      <c r="M22" s="125" t="s">
        <v>21</v>
      </c>
      <c r="N22" s="205" t="s">
        <v>815</v>
      </c>
      <c r="O22" s="111"/>
      <c r="P22" s="113"/>
      <c r="Q22"/>
      <c r="R22" s="8"/>
      <c r="T22" s="37" t="s">
        <v>39</v>
      </c>
      <c r="U22"/>
      <c r="V22" t="s">
        <v>39</v>
      </c>
      <c r="W22"/>
      <c r="X22" s="36"/>
      <c r="Y22" t="s">
        <v>40</v>
      </c>
      <c r="Z22"/>
      <c r="AA22"/>
      <c r="AB22" t="str">
        <f t="shared" si="0"/>
        <v>TRUE</v>
      </c>
      <c r="AC22"/>
      <c r="AD22"/>
      <c r="AE22"/>
    </row>
    <row r="23" spans="1:31" ht="15" x14ac:dyDescent="0.25">
      <c r="A23" s="34" t="s">
        <v>41</v>
      </c>
      <c r="B23" s="202" t="s">
        <v>42</v>
      </c>
      <c r="C23" s="208" t="s">
        <v>20</v>
      </c>
      <c r="D23" s="205" t="s">
        <v>815</v>
      </c>
      <c r="E23" s="146"/>
      <c r="F23" s="151"/>
      <c r="G23"/>
      <c r="H23" s="125" t="s">
        <v>21</v>
      </c>
      <c r="I23" s="205" t="s">
        <v>815</v>
      </c>
      <c r="J23" s="146"/>
      <c r="K23" s="151"/>
      <c r="L23"/>
      <c r="M23" s="125" t="s">
        <v>21</v>
      </c>
      <c r="N23" s="205" t="s">
        <v>815</v>
      </c>
      <c r="O23" s="111"/>
      <c r="P23" s="113"/>
      <c r="Q23"/>
      <c r="R23" s="8"/>
      <c r="T23" s="37" t="s">
        <v>41</v>
      </c>
      <c r="U23"/>
      <c r="V23" t="s">
        <v>41</v>
      </c>
      <c r="W23"/>
      <c r="X23" s="36"/>
      <c r="Y23" t="s">
        <v>42</v>
      </c>
      <c r="Z23"/>
      <c r="AA23"/>
      <c r="AB23" t="str">
        <f t="shared" si="0"/>
        <v>TRUE</v>
      </c>
      <c r="AC23"/>
      <c r="AD23"/>
      <c r="AE23"/>
    </row>
    <row r="24" spans="1:31" ht="15" x14ac:dyDescent="0.25">
      <c r="A24" s="34" t="s">
        <v>43</v>
      </c>
      <c r="B24" s="202" t="s">
        <v>44</v>
      </c>
      <c r="C24" s="208" t="s">
        <v>20</v>
      </c>
      <c r="D24" s="206" t="s">
        <v>816</v>
      </c>
      <c r="E24" s="146"/>
      <c r="F24" s="151"/>
      <c r="G24"/>
      <c r="H24" s="125" t="s">
        <v>21</v>
      </c>
      <c r="I24" s="205" t="s">
        <v>815</v>
      </c>
      <c r="J24" s="146"/>
      <c r="K24" s="151"/>
      <c r="L24"/>
      <c r="M24" s="125" t="s">
        <v>851</v>
      </c>
      <c r="N24" s="205" t="s">
        <v>815</v>
      </c>
      <c r="O24" s="111"/>
      <c r="P24" s="113"/>
      <c r="Q24"/>
      <c r="R24" s="8"/>
      <c r="T24" s="37" t="s">
        <v>43</v>
      </c>
      <c r="U24"/>
      <c r="V24" t="s">
        <v>43</v>
      </c>
      <c r="W24"/>
      <c r="X24" s="36"/>
      <c r="Y24" t="s">
        <v>44</v>
      </c>
      <c r="Z24"/>
      <c r="AA24"/>
      <c r="AB24" t="str">
        <f t="shared" si="0"/>
        <v>TRUE</v>
      </c>
      <c r="AC24"/>
      <c r="AD24"/>
      <c r="AE24"/>
    </row>
    <row r="25" spans="1:31" ht="15" x14ac:dyDescent="0.25">
      <c r="A25" s="34" t="s">
        <v>45</v>
      </c>
      <c r="B25" s="202" t="s">
        <v>46</v>
      </c>
      <c r="C25" s="208" t="s">
        <v>20</v>
      </c>
      <c r="D25" s="206" t="s">
        <v>816</v>
      </c>
      <c r="E25" s="146"/>
      <c r="F25" s="151"/>
      <c r="G25"/>
      <c r="H25" s="125" t="s">
        <v>21</v>
      </c>
      <c r="I25" s="205" t="s">
        <v>815</v>
      </c>
      <c r="J25" s="146"/>
      <c r="K25" s="151"/>
      <c r="L25"/>
      <c r="M25" s="125" t="s">
        <v>21</v>
      </c>
      <c r="N25" s="205" t="s">
        <v>815</v>
      </c>
      <c r="O25" s="111"/>
      <c r="P25" s="113"/>
      <c r="Q25"/>
      <c r="R25" s="8"/>
      <c r="T25" s="37" t="s">
        <v>45</v>
      </c>
      <c r="U25"/>
      <c r="V25" t="s">
        <v>45</v>
      </c>
      <c r="W25"/>
      <c r="X25" s="36"/>
      <c r="Y25" t="s">
        <v>46</v>
      </c>
      <c r="Z25"/>
      <c r="AA25"/>
      <c r="AB25" t="str">
        <f t="shared" si="0"/>
        <v>TRUE</v>
      </c>
      <c r="AC25"/>
      <c r="AD25"/>
      <c r="AE25"/>
    </row>
    <row r="26" spans="1:31" ht="15" x14ac:dyDescent="0.25">
      <c r="A26" s="34" t="s">
        <v>47</v>
      </c>
      <c r="B26" s="202" t="s">
        <v>48</v>
      </c>
      <c r="C26" s="208" t="s">
        <v>20</v>
      </c>
      <c r="D26" s="205" t="s">
        <v>815</v>
      </c>
      <c r="E26" s="146"/>
      <c r="F26" s="151"/>
      <c r="G26"/>
      <c r="H26" s="125" t="s">
        <v>21</v>
      </c>
      <c r="I26" s="205" t="s">
        <v>815</v>
      </c>
      <c r="J26" s="146"/>
      <c r="K26" s="151"/>
      <c r="L26"/>
      <c r="M26" s="125" t="s">
        <v>21</v>
      </c>
      <c r="N26" s="205" t="s">
        <v>815</v>
      </c>
      <c r="O26" s="111"/>
      <c r="P26" s="113"/>
      <c r="Q26"/>
      <c r="R26" s="8"/>
      <c r="T26" s="37" t="s">
        <v>47</v>
      </c>
      <c r="U26"/>
      <c r="V26" t="s">
        <v>47</v>
      </c>
      <c r="W26"/>
      <c r="X26" s="36"/>
      <c r="Y26" t="s">
        <v>48</v>
      </c>
      <c r="Z26"/>
      <c r="AA26"/>
      <c r="AB26" t="str">
        <f t="shared" si="0"/>
        <v>TRUE</v>
      </c>
      <c r="AC26"/>
      <c r="AD26"/>
      <c r="AE26"/>
    </row>
    <row r="27" spans="1:31" ht="15" x14ac:dyDescent="0.25">
      <c r="A27" s="34" t="s">
        <v>49</v>
      </c>
      <c r="B27" s="202" t="s">
        <v>50</v>
      </c>
      <c r="C27" s="208" t="s">
        <v>20</v>
      </c>
      <c r="D27" s="205" t="s">
        <v>815</v>
      </c>
      <c r="E27" s="146"/>
      <c r="F27" s="151"/>
      <c r="G27"/>
      <c r="H27" s="125" t="s">
        <v>21</v>
      </c>
      <c r="I27" s="205" t="s">
        <v>815</v>
      </c>
      <c r="J27" s="146"/>
      <c r="K27" s="151"/>
      <c r="L27"/>
      <c r="M27" s="125" t="s">
        <v>851</v>
      </c>
      <c r="N27" s="205" t="s">
        <v>815</v>
      </c>
      <c r="O27" s="111"/>
      <c r="P27" s="113"/>
      <c r="Q27"/>
      <c r="R27" s="8"/>
      <c r="T27" s="37" t="s">
        <v>49</v>
      </c>
      <c r="U27"/>
      <c r="V27" t="s">
        <v>49</v>
      </c>
      <c r="W27"/>
      <c r="X27" s="36"/>
      <c r="Y27" t="s">
        <v>50</v>
      </c>
      <c r="Z27"/>
      <c r="AA27"/>
      <c r="AB27" t="str">
        <f t="shared" si="0"/>
        <v>TRUE</v>
      </c>
      <c r="AC27"/>
      <c r="AD27"/>
      <c r="AE27"/>
    </row>
    <row r="28" spans="1:31" ht="15" x14ac:dyDescent="0.25">
      <c r="A28" s="34" t="s">
        <v>51</v>
      </c>
      <c r="B28" s="202" t="s">
        <v>52</v>
      </c>
      <c r="C28" s="208" t="s">
        <v>20</v>
      </c>
      <c r="D28" s="206" t="s">
        <v>816</v>
      </c>
      <c r="E28" s="146"/>
      <c r="F28" s="151"/>
      <c r="G28"/>
      <c r="H28" s="125" t="s">
        <v>21</v>
      </c>
      <c r="I28" s="205" t="s">
        <v>815</v>
      </c>
      <c r="J28" s="146"/>
      <c r="K28" s="151"/>
      <c r="L28"/>
      <c r="M28" s="125" t="s">
        <v>851</v>
      </c>
      <c r="N28" s="205" t="s">
        <v>815</v>
      </c>
      <c r="O28" s="111"/>
      <c r="P28" s="113"/>
      <c r="Q28"/>
      <c r="R28" s="8"/>
      <c r="T28" s="37" t="s">
        <v>51</v>
      </c>
      <c r="U28"/>
      <c r="V28" t="s">
        <v>51</v>
      </c>
      <c r="W28"/>
      <c r="X28" s="36"/>
      <c r="Y28" t="s">
        <v>52</v>
      </c>
      <c r="Z28"/>
      <c r="AA28"/>
      <c r="AB28" t="str">
        <f t="shared" si="0"/>
        <v>TRUE</v>
      </c>
      <c r="AC28"/>
      <c r="AD28"/>
      <c r="AE28"/>
    </row>
    <row r="29" spans="1:31" ht="15" x14ac:dyDescent="0.25">
      <c r="A29" s="34" t="s">
        <v>53</v>
      </c>
      <c r="B29" s="202" t="s">
        <v>54</v>
      </c>
      <c r="C29" s="208" t="s">
        <v>20</v>
      </c>
      <c r="D29" s="206" t="s">
        <v>816</v>
      </c>
      <c r="E29" s="146"/>
      <c r="F29" s="151"/>
      <c r="G29"/>
      <c r="H29" s="125" t="s">
        <v>21</v>
      </c>
      <c r="I29" s="205" t="s">
        <v>815</v>
      </c>
      <c r="J29" s="146"/>
      <c r="K29" s="151"/>
      <c r="L29"/>
      <c r="M29" s="125" t="s">
        <v>21</v>
      </c>
      <c r="N29" s="205" t="s">
        <v>815</v>
      </c>
      <c r="O29" s="111"/>
      <c r="P29" s="113"/>
      <c r="Q29"/>
      <c r="R29" s="8"/>
      <c r="T29" s="37" t="s">
        <v>53</v>
      </c>
      <c r="U29"/>
      <c r="V29" t="s">
        <v>53</v>
      </c>
      <c r="W29"/>
      <c r="X29" s="36"/>
      <c r="Y29" t="s">
        <v>54</v>
      </c>
      <c r="Z29"/>
      <c r="AA29"/>
      <c r="AB29" t="str">
        <f t="shared" si="0"/>
        <v>TRUE</v>
      </c>
      <c r="AC29"/>
      <c r="AD29"/>
      <c r="AE29"/>
    </row>
    <row r="30" spans="1:31" ht="15" x14ac:dyDescent="0.25">
      <c r="A30" s="38" t="s">
        <v>55</v>
      </c>
      <c r="B30" s="202" t="s">
        <v>56</v>
      </c>
      <c r="C30" s="208" t="s">
        <v>20</v>
      </c>
      <c r="D30" s="206" t="s">
        <v>816</v>
      </c>
      <c r="E30" s="146"/>
      <c r="F30" s="151"/>
      <c r="G30"/>
      <c r="H30" s="125" t="s">
        <v>21</v>
      </c>
      <c r="I30" s="206" t="s">
        <v>816</v>
      </c>
      <c r="J30" s="146"/>
      <c r="K30" s="151"/>
      <c r="L30"/>
      <c r="M30" s="125" t="s">
        <v>21</v>
      </c>
      <c r="N30" s="205" t="s">
        <v>815</v>
      </c>
      <c r="O30" s="111"/>
      <c r="P30" s="113"/>
      <c r="Q30"/>
      <c r="R30" s="8"/>
      <c r="T30" s="37" t="s">
        <v>55</v>
      </c>
      <c r="U30"/>
      <c r="V30" t="s">
        <v>55</v>
      </c>
      <c r="W30"/>
      <c r="X30" s="36"/>
      <c r="Y30" t="s">
        <v>56</v>
      </c>
      <c r="Z30"/>
      <c r="AA30"/>
      <c r="AB30" t="str">
        <f t="shared" si="0"/>
        <v>TRUE</v>
      </c>
      <c r="AC30"/>
      <c r="AD30"/>
      <c r="AE30"/>
    </row>
    <row r="31" spans="1:31" ht="15" x14ac:dyDescent="0.25">
      <c r="A31" s="34" t="s">
        <v>57</v>
      </c>
      <c r="B31" s="202" t="s">
        <v>58</v>
      </c>
      <c r="C31" s="208" t="s">
        <v>20</v>
      </c>
      <c r="D31" s="205" t="s">
        <v>815</v>
      </c>
      <c r="E31" s="146"/>
      <c r="F31" s="151"/>
      <c r="G31"/>
      <c r="H31" s="125" t="s">
        <v>21</v>
      </c>
      <c r="I31" s="205" t="s">
        <v>815</v>
      </c>
      <c r="J31" s="146"/>
      <c r="K31" s="151"/>
      <c r="L31"/>
      <c r="M31" s="125" t="s">
        <v>21</v>
      </c>
      <c r="N31" s="205" t="s">
        <v>815</v>
      </c>
      <c r="O31" s="111"/>
      <c r="P31" s="113"/>
      <c r="Q31"/>
      <c r="R31" s="8"/>
      <c r="T31" s="37" t="s">
        <v>57</v>
      </c>
      <c r="U31"/>
      <c r="V31" t="s">
        <v>57</v>
      </c>
      <c r="W31"/>
      <c r="X31" s="36"/>
      <c r="Y31" t="s">
        <v>58</v>
      </c>
      <c r="Z31"/>
      <c r="AA31"/>
      <c r="AB31" t="str">
        <f t="shared" si="0"/>
        <v>TRUE</v>
      </c>
      <c r="AC31"/>
      <c r="AD31"/>
      <c r="AE31"/>
    </row>
    <row r="32" spans="1:31" ht="15" x14ac:dyDescent="0.25">
      <c r="A32" s="34" t="s">
        <v>59</v>
      </c>
      <c r="B32" s="202" t="s">
        <v>60</v>
      </c>
      <c r="C32" s="208" t="s">
        <v>20</v>
      </c>
      <c r="D32" s="206" t="s">
        <v>816</v>
      </c>
      <c r="E32" s="146"/>
      <c r="F32" s="151"/>
      <c r="G32"/>
      <c r="H32" s="125" t="s">
        <v>21</v>
      </c>
      <c r="I32" s="205" t="s">
        <v>815</v>
      </c>
      <c r="J32" s="146"/>
      <c r="K32" s="151"/>
      <c r="L32"/>
      <c r="M32" s="125" t="s">
        <v>851</v>
      </c>
      <c r="N32" s="205" t="s">
        <v>815</v>
      </c>
      <c r="O32" s="111"/>
      <c r="P32" s="113"/>
      <c r="Q32"/>
      <c r="R32" s="8"/>
      <c r="T32" s="37" t="s">
        <v>59</v>
      </c>
      <c r="U32"/>
      <c r="V32" t="s">
        <v>59</v>
      </c>
      <c r="W32"/>
      <c r="X32" s="36"/>
      <c r="Y32" t="s">
        <v>60</v>
      </c>
      <c r="Z32"/>
      <c r="AA32"/>
      <c r="AB32" t="str">
        <f t="shared" si="0"/>
        <v>TRUE</v>
      </c>
      <c r="AC32"/>
      <c r="AD32"/>
      <c r="AE32"/>
    </row>
    <row r="33" spans="1:31" ht="15" x14ac:dyDescent="0.25">
      <c r="A33" s="34" t="s">
        <v>61</v>
      </c>
      <c r="B33" s="202" t="s">
        <v>62</v>
      </c>
      <c r="C33" s="208" t="s">
        <v>20</v>
      </c>
      <c r="D33" s="205" t="s">
        <v>815</v>
      </c>
      <c r="E33" s="146"/>
      <c r="F33" s="151"/>
      <c r="G33"/>
      <c r="H33" s="125" t="s">
        <v>21</v>
      </c>
      <c r="I33" s="205" t="s">
        <v>815</v>
      </c>
      <c r="J33" s="146"/>
      <c r="K33" s="151"/>
      <c r="L33"/>
      <c r="M33" s="125" t="s">
        <v>21</v>
      </c>
      <c r="N33" s="205" t="s">
        <v>815</v>
      </c>
      <c r="O33" s="111"/>
      <c r="P33" s="113"/>
      <c r="Q33"/>
      <c r="R33" s="8"/>
      <c r="T33" s="37" t="s">
        <v>61</v>
      </c>
      <c r="U33"/>
      <c r="V33" t="s">
        <v>61</v>
      </c>
      <c r="W33"/>
      <c r="X33" s="36"/>
      <c r="Y33" t="s">
        <v>62</v>
      </c>
      <c r="Z33"/>
      <c r="AA33"/>
      <c r="AB33" t="str">
        <f t="shared" si="0"/>
        <v>TRUE</v>
      </c>
      <c r="AC33"/>
      <c r="AD33"/>
      <c r="AE33"/>
    </row>
    <row r="34" spans="1:31" ht="15" x14ac:dyDescent="0.25">
      <c r="A34" s="38" t="s">
        <v>63</v>
      </c>
      <c r="B34" s="202" t="s">
        <v>64</v>
      </c>
      <c r="C34" s="208" t="s">
        <v>20</v>
      </c>
      <c r="D34" s="206" t="s">
        <v>816</v>
      </c>
      <c r="E34" s="146"/>
      <c r="F34" s="151"/>
      <c r="G34"/>
      <c r="H34" s="125" t="s">
        <v>21</v>
      </c>
      <c r="I34" s="205" t="s">
        <v>815</v>
      </c>
      <c r="J34" s="146"/>
      <c r="K34" s="151"/>
      <c r="L34"/>
      <c r="M34" s="125" t="s">
        <v>21</v>
      </c>
      <c r="N34" s="205" t="s">
        <v>815</v>
      </c>
      <c r="O34" s="111"/>
      <c r="P34" s="113"/>
      <c r="Q34"/>
      <c r="R34" s="8"/>
      <c r="T34" s="37" t="s">
        <v>63</v>
      </c>
      <c r="U34"/>
      <c r="V34" t="s">
        <v>63</v>
      </c>
      <c r="W34"/>
      <c r="X34" s="36"/>
      <c r="Y34" t="s">
        <v>64</v>
      </c>
      <c r="Z34"/>
      <c r="AA34"/>
      <c r="AB34" t="str">
        <f t="shared" si="0"/>
        <v>TRUE</v>
      </c>
      <c r="AC34"/>
      <c r="AD34"/>
      <c r="AE34"/>
    </row>
    <row r="35" spans="1:31" ht="15" x14ac:dyDescent="0.25">
      <c r="A35" s="34" t="s">
        <v>65</v>
      </c>
      <c r="B35" s="202" t="s">
        <v>66</v>
      </c>
      <c r="C35" s="208" t="s">
        <v>20</v>
      </c>
      <c r="D35" s="205" t="s">
        <v>815</v>
      </c>
      <c r="E35" s="146"/>
      <c r="F35" s="151"/>
      <c r="G35"/>
      <c r="H35" s="125" t="s">
        <v>21</v>
      </c>
      <c r="I35" s="205" t="s">
        <v>815</v>
      </c>
      <c r="J35" s="146"/>
      <c r="K35" s="151"/>
      <c r="L35"/>
      <c r="M35" s="125" t="s">
        <v>21</v>
      </c>
      <c r="N35" s="205" t="s">
        <v>815</v>
      </c>
      <c r="O35" s="111"/>
      <c r="P35" s="113"/>
      <c r="Q35"/>
      <c r="R35" s="8"/>
      <c r="T35" s="37" t="s">
        <v>65</v>
      </c>
      <c r="U35"/>
      <c r="V35" t="s">
        <v>65</v>
      </c>
      <c r="W35"/>
      <c r="X35" s="36"/>
      <c r="Y35" t="s">
        <v>66</v>
      </c>
      <c r="Z35"/>
      <c r="AA35"/>
      <c r="AB35" t="str">
        <f t="shared" si="0"/>
        <v>TRUE</v>
      </c>
      <c r="AC35"/>
      <c r="AD35"/>
      <c r="AE35"/>
    </row>
    <row r="36" spans="1:31" ht="15" x14ac:dyDescent="0.25">
      <c r="A36" s="38" t="s">
        <v>67</v>
      </c>
      <c r="B36" s="202" t="s">
        <v>68</v>
      </c>
      <c r="C36" s="208" t="s">
        <v>20</v>
      </c>
      <c r="D36" s="205" t="s">
        <v>815</v>
      </c>
      <c r="E36" s="146"/>
      <c r="F36" s="151"/>
      <c r="G36"/>
      <c r="H36" s="125" t="s">
        <v>21</v>
      </c>
      <c r="I36" s="205" t="s">
        <v>815</v>
      </c>
      <c r="J36" s="146"/>
      <c r="K36" s="151"/>
      <c r="L36"/>
      <c r="M36" s="125" t="s">
        <v>21</v>
      </c>
      <c r="N36" s="205" t="s">
        <v>815</v>
      </c>
      <c r="O36" s="111"/>
      <c r="P36" s="113"/>
      <c r="Q36"/>
      <c r="R36" s="8"/>
      <c r="T36" s="37" t="s">
        <v>67</v>
      </c>
      <c r="U36"/>
      <c r="V36" t="s">
        <v>67</v>
      </c>
      <c r="W36"/>
      <c r="X36" s="36"/>
      <c r="Y36" t="s">
        <v>68</v>
      </c>
      <c r="Z36"/>
      <c r="AA36"/>
      <c r="AB36" t="str">
        <f t="shared" si="0"/>
        <v>TRUE</v>
      </c>
      <c r="AC36"/>
      <c r="AD36"/>
      <c r="AE36"/>
    </row>
    <row r="37" spans="1:31" ht="15" x14ac:dyDescent="0.25">
      <c r="A37" s="34" t="s">
        <v>69</v>
      </c>
      <c r="B37" s="202" t="s">
        <v>70</v>
      </c>
      <c r="C37" s="208" t="s">
        <v>20</v>
      </c>
      <c r="D37" s="206" t="s">
        <v>816</v>
      </c>
      <c r="E37" s="146"/>
      <c r="F37" s="151"/>
      <c r="G37"/>
      <c r="H37" s="125" t="s">
        <v>21</v>
      </c>
      <c r="I37" s="205" t="s">
        <v>815</v>
      </c>
      <c r="J37" s="146"/>
      <c r="K37" s="151"/>
      <c r="L37"/>
      <c r="M37" s="125" t="s">
        <v>21</v>
      </c>
      <c r="N37" s="205" t="s">
        <v>815</v>
      </c>
      <c r="O37" s="111"/>
      <c r="P37" s="113"/>
      <c r="Q37"/>
      <c r="R37" s="8"/>
      <c r="T37" s="37" t="s">
        <v>69</v>
      </c>
      <c r="U37"/>
      <c r="V37" t="s">
        <v>69</v>
      </c>
      <c r="W37"/>
      <c r="X37" s="36"/>
      <c r="Y37" t="s">
        <v>70</v>
      </c>
      <c r="Z37"/>
      <c r="AA37"/>
      <c r="AB37" t="str">
        <f t="shared" si="0"/>
        <v>TRUE</v>
      </c>
      <c r="AC37"/>
      <c r="AD37"/>
      <c r="AE37"/>
    </row>
    <row r="38" spans="1:31" ht="15" x14ac:dyDescent="0.25">
      <c r="A38" s="34" t="s">
        <v>71</v>
      </c>
      <c r="B38" s="202" t="s">
        <v>72</v>
      </c>
      <c r="C38" s="208" t="s">
        <v>20</v>
      </c>
      <c r="D38" s="205" t="s">
        <v>815</v>
      </c>
      <c r="E38" s="146"/>
      <c r="F38" s="151"/>
      <c r="G38"/>
      <c r="H38" s="125" t="s">
        <v>21</v>
      </c>
      <c r="I38" s="205" t="s">
        <v>815</v>
      </c>
      <c r="J38" s="146"/>
      <c r="K38" s="151"/>
      <c r="L38"/>
      <c r="M38" s="125" t="s">
        <v>21</v>
      </c>
      <c r="N38" s="205" t="s">
        <v>815</v>
      </c>
      <c r="O38" s="111"/>
      <c r="P38" s="113"/>
      <c r="Q38"/>
      <c r="R38" s="8"/>
      <c r="T38" s="37" t="s">
        <v>71</v>
      </c>
      <c r="U38"/>
      <c r="V38" t="s">
        <v>71</v>
      </c>
      <c r="W38"/>
      <c r="X38" s="36"/>
      <c r="Y38" t="s">
        <v>72</v>
      </c>
      <c r="Z38"/>
      <c r="AA38"/>
      <c r="AB38" t="str">
        <f t="shared" si="0"/>
        <v>TRUE</v>
      </c>
      <c r="AC38"/>
      <c r="AD38"/>
      <c r="AE38"/>
    </row>
    <row r="39" spans="1:31" ht="15.75" thickBot="1" x14ac:dyDescent="0.3">
      <c r="A39" s="38" t="s">
        <v>73</v>
      </c>
      <c r="B39" s="203" t="s">
        <v>461</v>
      </c>
      <c r="C39" s="209" t="s">
        <v>20</v>
      </c>
      <c r="D39" s="206" t="s">
        <v>816</v>
      </c>
      <c r="E39" s="153"/>
      <c r="F39" s="154"/>
      <c r="G39"/>
      <c r="H39" s="126" t="s">
        <v>21</v>
      </c>
      <c r="I39" s="206" t="s">
        <v>816</v>
      </c>
      <c r="J39" s="153"/>
      <c r="K39" s="154"/>
      <c r="L39"/>
      <c r="M39" s="126" t="s">
        <v>851</v>
      </c>
      <c r="N39" s="206" t="s">
        <v>816</v>
      </c>
      <c r="O39" s="115"/>
      <c r="P39" s="116"/>
      <c r="Q39"/>
      <c r="R39" s="8"/>
      <c r="T39" s="39" t="s">
        <v>73</v>
      </c>
      <c r="U39"/>
      <c r="V39" t="s">
        <v>73</v>
      </c>
      <c r="W39"/>
      <c r="X39" s="36"/>
      <c r="Y39" t="s">
        <v>461</v>
      </c>
      <c r="Z39"/>
      <c r="AA39"/>
      <c r="AB39" t="str">
        <f t="shared" si="0"/>
        <v>TRUE</v>
      </c>
      <c r="AC39"/>
      <c r="AD39"/>
      <c r="AE39"/>
    </row>
    <row r="40" spans="1:31" ht="15" x14ac:dyDescent="0.25">
      <c r="A40" s="38" t="s">
        <v>73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 s="8"/>
      <c r="T40"/>
      <c r="U40"/>
      <c r="V40"/>
      <c r="W40"/>
      <c r="X40" s="36"/>
      <c r="Y40"/>
      <c r="Z40"/>
      <c r="AA40"/>
      <c r="AB40"/>
      <c r="AC40"/>
      <c r="AD40"/>
      <c r="AE40"/>
    </row>
    <row r="41" spans="1:31" ht="15" customHeight="1" x14ac:dyDescent="0.25">
      <c r="A41" s="40"/>
      <c r="B41" s="137" t="s">
        <v>462</v>
      </c>
      <c r="C41" s="110" t="s">
        <v>20</v>
      </c>
      <c r="D41" s="110" t="s">
        <v>463</v>
      </c>
      <c r="E41" s="111"/>
      <c r="F41" s="112"/>
      <c r="G41"/>
      <c r="H41" s="110" t="s">
        <v>32</v>
      </c>
      <c r="I41" s="110" t="s">
        <v>463</v>
      </c>
      <c r="J41" s="111"/>
      <c r="K41" s="112"/>
      <c r="L41" s="8"/>
      <c r="M41" s="110" t="s">
        <v>21</v>
      </c>
      <c r="N41" s="110" t="s">
        <v>463</v>
      </c>
      <c r="O41" s="111"/>
      <c r="P41" s="112"/>
      <c r="Q41" s="8"/>
      <c r="R41" s="8"/>
      <c r="S41" s="8"/>
      <c r="T41" s="8"/>
      <c r="U41" s="8"/>
      <c r="V41" s="8"/>
      <c r="W41" s="8"/>
      <c r="X41" s="8"/>
      <c r="Y41" t="s">
        <v>483</v>
      </c>
      <c r="Z41"/>
      <c r="AA41"/>
      <c r="AB41" t="str">
        <f>IF(Y41=B41,"TRUE","FALSE")</f>
        <v>FALSE</v>
      </c>
      <c r="AC41"/>
      <c r="AD41"/>
      <c r="AE41"/>
    </row>
    <row r="42" spans="1:31" ht="25.5" customHeight="1" x14ac:dyDescent="0.25">
      <c r="B42" s="42"/>
      <c r="C42" s="43"/>
      <c r="D42" s="43"/>
      <c r="E42" s="43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/>
      <c r="Z42"/>
      <c r="AA42"/>
      <c r="AB42"/>
      <c r="AC42"/>
      <c r="AD42"/>
      <c r="AE42"/>
    </row>
    <row r="43" spans="1:31" ht="11.25" customHeight="1" thickBot="1" x14ac:dyDescent="0.3">
      <c r="B43" s="42"/>
      <c r="C43" s="43"/>
      <c r="D43" s="43"/>
      <c r="E43" s="43"/>
      <c r="F43" s="8"/>
      <c r="G43" s="8"/>
      <c r="H43" s="8"/>
      <c r="I43" s="8"/>
      <c r="J43" s="8"/>
      <c r="K43" s="8"/>
      <c r="L43" s="8"/>
      <c r="M43" s="44"/>
      <c r="N43" s="44"/>
      <c r="O43" s="8"/>
      <c r="P43" s="8"/>
      <c r="Q43" s="8"/>
      <c r="R43" s="8"/>
      <c r="S43" s="8"/>
      <c r="T43" s="8"/>
      <c r="U43" s="8"/>
      <c r="V43" s="8"/>
      <c r="W43" s="8"/>
      <c r="X43" s="8"/>
      <c r="Y43"/>
      <c r="Z43"/>
      <c r="AA43"/>
      <c r="AB43"/>
      <c r="AC43"/>
      <c r="AD43"/>
      <c r="AE43"/>
    </row>
    <row r="44" spans="1:31" ht="11.25" customHeight="1" thickBot="1" x14ac:dyDescent="0.3">
      <c r="B44" s="140" t="s">
        <v>464</v>
      </c>
      <c r="C44" s="141" t="s">
        <v>465</v>
      </c>
      <c r="D44" s="141" t="s">
        <v>466</v>
      </c>
      <c r="E44" s="265" t="s">
        <v>467</v>
      </c>
      <c r="F44" s="265"/>
      <c r="G44" s="8"/>
      <c r="H44" s="8"/>
      <c r="I44" s="8"/>
      <c r="J44" s="8"/>
      <c r="K44" s="8"/>
      <c r="L44" s="8"/>
      <c r="M44" s="284" t="s">
        <v>74</v>
      </c>
      <c r="N44" s="284"/>
      <c r="O44" s="212" t="s">
        <v>75</v>
      </c>
      <c r="P44" s="213" t="s">
        <v>76</v>
      </c>
      <c r="Q44"/>
      <c r="R44" s="8"/>
      <c r="S44" s="8"/>
      <c r="T44" s="8"/>
      <c r="U44" s="8"/>
      <c r="V44" s="8"/>
      <c r="W44" s="8"/>
      <c r="X44" s="8"/>
      <c r="Y44"/>
      <c r="Z44"/>
      <c r="AA44"/>
      <c r="AB44"/>
      <c r="AC44"/>
      <c r="AD44"/>
      <c r="AE44"/>
    </row>
    <row r="45" spans="1:31" ht="23.25" customHeight="1" thickBot="1" x14ac:dyDescent="0.3">
      <c r="B45" s="140" t="s">
        <v>468</v>
      </c>
      <c r="C45" s="142"/>
      <c r="D45" s="142"/>
      <c r="E45" s="275"/>
      <c r="F45" s="275"/>
      <c r="M45" s="266" t="s">
        <v>77</v>
      </c>
      <c r="N45" s="267"/>
      <c r="O45" s="138">
        <f>SUM(E13:E41,J13:J41,O13:O41,E60:E71,J60:J71,O60:O71,E76:E98,O76:O99,E110:E152,O110:O146,E164:E196,O164:O189)</f>
        <v>0</v>
      </c>
      <c r="P45" s="139">
        <f>SUM(F13:F41,K13:K41,P13:P41,F60:F71,K60:K71,P60:P71,F76:F98,P76:P99,F110:F152,P110:P146,F164:F196,P164:P189)</f>
        <v>0</v>
      </c>
      <c r="Q45"/>
      <c r="R45" s="46"/>
      <c r="S45" s="47"/>
      <c r="T45" s="47"/>
      <c r="U45" s="46"/>
      <c r="V45" s="47"/>
      <c r="W45" s="47"/>
      <c r="X45" s="46"/>
      <c r="Y45"/>
      <c r="Z45"/>
      <c r="AA45"/>
      <c r="AB45"/>
      <c r="AC45"/>
      <c r="AD45"/>
      <c r="AE45"/>
    </row>
    <row r="46" spans="1:31" ht="31.5" customHeight="1" x14ac:dyDescent="0.25">
      <c r="B46" s="7"/>
      <c r="C46" s="8"/>
      <c r="D46" s="8"/>
      <c r="E46" s="8"/>
      <c r="M46" s="48"/>
      <c r="N46" s="48"/>
      <c r="O46" s="49"/>
      <c r="P46" s="50"/>
      <c r="Q46" s="51"/>
      <c r="R46" s="46"/>
      <c r="S46" s="47"/>
      <c r="T46" s="47"/>
      <c r="U46" s="46"/>
      <c r="V46" s="47"/>
      <c r="W46" s="47"/>
      <c r="X46" s="46"/>
      <c r="Y46"/>
      <c r="Z46"/>
      <c r="AA46"/>
      <c r="AB46"/>
      <c r="AC46"/>
      <c r="AD46"/>
      <c r="AE46"/>
    </row>
    <row r="47" spans="1:31" ht="23.25" customHeight="1" x14ac:dyDescent="0.25">
      <c r="B47" s="52"/>
      <c r="C47" s="8"/>
      <c r="D47" s="8"/>
      <c r="E47" s="8"/>
      <c r="M47" s="48"/>
      <c r="N47" s="48"/>
      <c r="O47" s="49"/>
      <c r="P47" s="50"/>
      <c r="Q47" s="51"/>
      <c r="R47" s="46"/>
      <c r="S47" s="47"/>
      <c r="T47" s="47"/>
      <c r="U47" s="46"/>
      <c r="V47" s="47"/>
      <c r="W47" s="47"/>
      <c r="X47" s="46"/>
      <c r="Y47"/>
      <c r="Z47"/>
      <c r="AA47"/>
      <c r="AB47"/>
      <c r="AC47"/>
      <c r="AD47"/>
      <c r="AE47"/>
    </row>
    <row r="48" spans="1:31" ht="8.25" customHeight="1" x14ac:dyDescent="0.25">
      <c r="B48" s="7"/>
      <c r="C48" s="8"/>
      <c r="D48" s="8"/>
      <c r="E48" s="8"/>
      <c r="M48" s="48"/>
      <c r="N48" s="48"/>
      <c r="O48" s="49"/>
      <c r="P48" s="50"/>
      <c r="Q48" s="51"/>
      <c r="R48" s="46"/>
      <c r="S48" s="47"/>
      <c r="T48" s="47"/>
      <c r="U48" s="46"/>
      <c r="V48" s="47"/>
      <c r="W48" s="47"/>
      <c r="X48" s="46"/>
      <c r="Y48"/>
      <c r="Z48"/>
      <c r="AA48"/>
      <c r="AB48"/>
      <c r="AC48"/>
      <c r="AD48"/>
      <c r="AE48"/>
    </row>
    <row r="49" spans="1:33" ht="4.5" customHeight="1" x14ac:dyDescent="0.25">
      <c r="B49" s="7"/>
      <c r="C49" s="8"/>
      <c r="D49" s="8"/>
      <c r="E49" s="8"/>
      <c r="F49" s="8"/>
      <c r="G49" s="8"/>
      <c r="H49" s="8"/>
      <c r="I49" s="8"/>
      <c r="J49" s="8"/>
      <c r="K49" s="8"/>
      <c r="L49" s="8"/>
      <c r="M49"/>
      <c r="N49"/>
      <c r="O49"/>
      <c r="P49"/>
      <c r="Q49"/>
      <c r="R49" s="8"/>
      <c r="S49" s="8"/>
      <c r="T49" s="8"/>
      <c r="U49" s="8"/>
      <c r="V49" s="8"/>
      <c r="W49" s="8"/>
      <c r="X49" s="8"/>
      <c r="Y49"/>
      <c r="Z49"/>
      <c r="AA49"/>
      <c r="AB49"/>
      <c r="AC49"/>
      <c r="AD49"/>
      <c r="AE49"/>
    </row>
    <row r="50" spans="1:33" ht="15" customHeight="1" x14ac:dyDescent="0.25">
      <c r="B50" s="7"/>
      <c r="C50" s="8"/>
      <c r="D50" s="8"/>
      <c r="E50" s="8"/>
      <c r="F50" s="8"/>
      <c r="G50" s="8"/>
      <c r="H50" s="8"/>
      <c r="I50" s="8"/>
      <c r="J50" s="8"/>
      <c r="K50" s="8"/>
      <c r="L50" s="8"/>
      <c r="M50"/>
      <c r="N50"/>
      <c r="O50"/>
      <c r="P50"/>
      <c r="Q50"/>
      <c r="R50" s="8"/>
      <c r="S50" s="8"/>
      <c r="T50" s="8"/>
      <c r="U50" s="8"/>
      <c r="V50" s="8"/>
      <c r="W50" s="8"/>
      <c r="X50" s="8"/>
      <c r="Y50"/>
      <c r="Z50"/>
      <c r="AA50"/>
      <c r="AB50"/>
      <c r="AC50"/>
      <c r="AD50"/>
      <c r="AE50"/>
    </row>
    <row r="51" spans="1:33" s="9" customFormat="1" ht="27.75" x14ac:dyDescent="0.25">
      <c r="B51" s="109" t="s">
        <v>819</v>
      </c>
      <c r="C51" s="10"/>
      <c r="D51" s="10"/>
      <c r="E51" s="10"/>
      <c r="F51" s="10"/>
      <c r="G51" s="10"/>
      <c r="H51" s="11"/>
      <c r="I51" s="11"/>
      <c r="J51" s="11"/>
      <c r="M51"/>
      <c r="N51"/>
      <c r="O51"/>
      <c r="P51"/>
      <c r="Q51"/>
      <c r="R51" s="11"/>
      <c r="U51" s="11"/>
      <c r="X51" s="11"/>
      <c r="Y51"/>
      <c r="Z51"/>
      <c r="AA51"/>
      <c r="AB51"/>
      <c r="AC51"/>
      <c r="AD51"/>
      <c r="AE51"/>
    </row>
    <row r="52" spans="1:33" ht="15" x14ac:dyDescent="0.25">
      <c r="B52" s="12" t="str">
        <f>B4</f>
        <v>Valid from 1st January 2025</v>
      </c>
      <c r="C52" s="13"/>
      <c r="D52" s="13"/>
      <c r="E52" s="13"/>
      <c r="F52" s="8"/>
      <c r="G52" s="8"/>
      <c r="H52" s="8"/>
      <c r="I52" s="8"/>
      <c r="J52" s="8"/>
      <c r="K52" s="8"/>
      <c r="L52" s="8"/>
      <c r="M52"/>
      <c r="N52"/>
      <c r="O52"/>
      <c r="P52"/>
      <c r="Q52"/>
      <c r="R52" s="8"/>
      <c r="S52" s="8"/>
      <c r="T52" s="8"/>
      <c r="U52" s="8"/>
      <c r="V52" s="8"/>
      <c r="W52" s="8"/>
      <c r="X52" s="8"/>
      <c r="Y52"/>
      <c r="Z52"/>
      <c r="AA52"/>
      <c r="AB52"/>
      <c r="AC52"/>
      <c r="AD52"/>
      <c r="AE52"/>
    </row>
    <row r="53" spans="1:33" ht="15.75" thickBot="1" x14ac:dyDescent="0.3">
      <c r="B53" s="14"/>
      <c r="C53" s="13"/>
      <c r="D53" s="13"/>
      <c r="E53" s="13"/>
      <c r="F53" s="8"/>
      <c r="G53" s="8"/>
      <c r="H53" s="8"/>
      <c r="I53" s="8"/>
      <c r="J53" s="8"/>
      <c r="K53" s="8"/>
      <c r="L53" s="8"/>
      <c r="M53" s="8"/>
      <c r="N53"/>
      <c r="O53"/>
      <c r="P53"/>
      <c r="Q53"/>
      <c r="R53" s="8"/>
      <c r="S53" s="8"/>
      <c r="T53" s="8"/>
      <c r="U53" s="8"/>
      <c r="V53" s="8"/>
      <c r="W53" s="8"/>
      <c r="X53" s="8"/>
      <c r="Y53"/>
      <c r="Z53"/>
      <c r="AA53"/>
      <c r="AB53"/>
      <c r="AC53"/>
      <c r="AD53"/>
      <c r="AE53"/>
    </row>
    <row r="54" spans="1:33" ht="14.25" customHeight="1" thickBot="1" x14ac:dyDescent="0.3">
      <c r="B54" s="251" t="s">
        <v>0</v>
      </c>
      <c r="C54" s="252"/>
      <c r="D54" s="253" t="str">
        <f>IF($D$6=0,"",$D$6)</f>
        <v>Citipost Ltd</v>
      </c>
      <c r="E54" s="253"/>
      <c r="F54" s="253"/>
      <c r="G54" s="252" t="s">
        <v>3</v>
      </c>
      <c r="H54" s="252"/>
      <c r="I54" s="253" t="str">
        <f>IF($D$7=0,"",$D$7)</f>
        <v/>
      </c>
      <c r="J54" s="253"/>
      <c r="K54" s="253"/>
      <c r="L54" s="252" t="s">
        <v>2</v>
      </c>
      <c r="M54" s="252"/>
      <c r="N54" s="285" t="str">
        <f>IF($N$6=0,"",$N$6)</f>
        <v/>
      </c>
      <c r="O54" s="253"/>
      <c r="P54" s="253"/>
      <c r="Q54" s="286"/>
      <c r="R54" s="8"/>
      <c r="S54" s="8"/>
      <c r="T54" s="8"/>
      <c r="U54" s="8"/>
      <c r="V54" s="8"/>
      <c r="W54" s="8"/>
      <c r="X54" s="8"/>
      <c r="Y54"/>
      <c r="Z54"/>
      <c r="AA54"/>
      <c r="AB54"/>
      <c r="AC54"/>
      <c r="AD54"/>
      <c r="AE54"/>
    </row>
    <row r="55" spans="1:33" ht="14.25" customHeight="1" x14ac:dyDescent="0.25">
      <c r="B55" s="53"/>
      <c r="C55" s="53"/>
      <c r="D55" s="54"/>
      <c r="E55" s="54"/>
      <c r="F55" s="54"/>
      <c r="G55" s="55"/>
      <c r="H55" s="55"/>
      <c r="I55" s="56"/>
      <c r="J55" s="56"/>
      <c r="K55" s="56"/>
      <c r="L55" s="55"/>
      <c r="M55" s="55"/>
      <c r="N55" s="57"/>
      <c r="O55" s="57"/>
      <c r="P55" s="57"/>
      <c r="Q55" s="57"/>
      <c r="R55" s="8"/>
      <c r="S55" s="8"/>
      <c r="T55" s="8"/>
      <c r="U55" s="8"/>
      <c r="V55" s="8"/>
      <c r="W55" s="8"/>
      <c r="X55" s="8"/>
      <c r="Y55"/>
      <c r="Z55"/>
      <c r="AA55"/>
      <c r="AB55"/>
      <c r="AC55"/>
      <c r="AD55"/>
      <c r="AE55"/>
    </row>
    <row r="56" spans="1:33" s="19" customFormat="1" ht="15.75" thickBot="1" x14ac:dyDescent="0.3">
      <c r="B56" s="58"/>
      <c r="C56" s="58"/>
      <c r="D56" s="58" t="s">
        <v>6</v>
      </c>
      <c r="E56" s="58"/>
      <c r="F56" s="58"/>
      <c r="G56" s="59" t="s">
        <v>6</v>
      </c>
      <c r="H56" s="59"/>
      <c r="I56" s="59" t="s">
        <v>7</v>
      </c>
      <c r="J56" s="59"/>
      <c r="K56" s="59"/>
      <c r="L56" s="60" t="s">
        <v>7</v>
      </c>
      <c r="M56" s="61"/>
      <c r="N56" s="61" t="s">
        <v>8</v>
      </c>
      <c r="O56" s="61"/>
      <c r="P56" s="60"/>
      <c r="Q56" s="60" t="s">
        <v>8</v>
      </c>
      <c r="R56" s="62"/>
      <c r="S56" s="63"/>
      <c r="T56" s="63"/>
      <c r="U56" s="62"/>
      <c r="V56" s="63"/>
      <c r="W56" s="63"/>
      <c r="X56" s="62"/>
      <c r="Y56"/>
      <c r="Z56"/>
      <c r="AA56"/>
      <c r="AB56"/>
      <c r="AC56"/>
      <c r="AD56"/>
      <c r="AE56"/>
    </row>
    <row r="57" spans="1:33" ht="15" customHeight="1" x14ac:dyDescent="0.25">
      <c r="B57" s="25"/>
      <c r="C57" s="246" t="s">
        <v>9</v>
      </c>
      <c r="D57" s="247"/>
      <c r="E57" s="247"/>
      <c r="F57" s="248"/>
      <c r="G57"/>
      <c r="H57" s="246" t="s">
        <v>9</v>
      </c>
      <c r="I57" s="247"/>
      <c r="J57" s="247"/>
      <c r="K57" s="248"/>
      <c r="L57"/>
      <c r="M57" s="246" t="s">
        <v>9</v>
      </c>
      <c r="N57" s="247"/>
      <c r="O57" s="247"/>
      <c r="P57" s="248"/>
      <c r="Q57"/>
      <c r="R57" s="26"/>
      <c r="S57" s="26"/>
      <c r="T57" s="26"/>
      <c r="U57" s="64"/>
      <c r="V57" s="64"/>
      <c r="W57" s="64"/>
      <c r="X57" s="64"/>
      <c r="Y57"/>
      <c r="Z57"/>
      <c r="AA57"/>
      <c r="AB57"/>
      <c r="AC57"/>
      <c r="AD57"/>
      <c r="AE57"/>
    </row>
    <row r="58" spans="1:33" ht="15" customHeight="1" x14ac:dyDescent="0.25">
      <c r="C58" s="259" t="s">
        <v>10</v>
      </c>
      <c r="D58" s="260"/>
      <c r="E58" s="260"/>
      <c r="F58" s="261"/>
      <c r="G58"/>
      <c r="H58" s="256" t="s">
        <v>78</v>
      </c>
      <c r="I58" s="257"/>
      <c r="J58" s="257"/>
      <c r="K58" s="258"/>
      <c r="L58"/>
      <c r="M58" s="256" t="s">
        <v>79</v>
      </c>
      <c r="N58" s="257"/>
      <c r="O58" s="257"/>
      <c r="P58" s="258"/>
      <c r="Q58"/>
      <c r="R58" s="29"/>
      <c r="S58" s="29"/>
      <c r="T58" s="29"/>
      <c r="U58"/>
      <c r="V58"/>
      <c r="W58"/>
      <c r="X58" s="64"/>
      <c r="Y58"/>
      <c r="Z58"/>
      <c r="AA58"/>
      <c r="AB58"/>
      <c r="AC58"/>
      <c r="AD58"/>
      <c r="AE58"/>
    </row>
    <row r="59" spans="1:33" ht="14.25" customHeight="1" thickBot="1" x14ac:dyDescent="0.3">
      <c r="B59" s="30"/>
      <c r="C59" s="214" t="s">
        <v>14</v>
      </c>
      <c r="D59" s="215" t="s">
        <v>15</v>
      </c>
      <c r="E59" s="215" t="s">
        <v>16</v>
      </c>
      <c r="F59" s="216" t="s">
        <v>17</v>
      </c>
      <c r="G59"/>
      <c r="H59" s="217" t="s">
        <v>14</v>
      </c>
      <c r="I59" s="211" t="s">
        <v>15</v>
      </c>
      <c r="J59" s="211" t="s">
        <v>16</v>
      </c>
      <c r="K59" s="218" t="s">
        <v>17</v>
      </c>
      <c r="L59"/>
      <c r="M59" s="217" t="s">
        <v>14</v>
      </c>
      <c r="N59" s="211" t="s">
        <v>15</v>
      </c>
      <c r="O59" s="211" t="s">
        <v>16</v>
      </c>
      <c r="P59" s="218" t="s">
        <v>17</v>
      </c>
      <c r="Q59"/>
      <c r="R59" s="31"/>
      <c r="S59" s="32"/>
      <c r="T59" s="32"/>
      <c r="U59"/>
      <c r="V59"/>
      <c r="W59"/>
      <c r="X59" s="31"/>
      <c r="Y59"/>
      <c r="Z59"/>
      <c r="AA59"/>
      <c r="AB59"/>
      <c r="AC59"/>
      <c r="AD59"/>
      <c r="AE59"/>
      <c r="AF59" s="47"/>
    </row>
    <row r="60" spans="1:33" ht="15" x14ac:dyDescent="0.25">
      <c r="A60" s="6" t="s">
        <v>81</v>
      </c>
      <c r="B60" s="117" t="s">
        <v>80</v>
      </c>
      <c r="C60" s="127" t="s">
        <v>20</v>
      </c>
      <c r="D60" s="205" t="s">
        <v>815</v>
      </c>
      <c r="E60" s="155"/>
      <c r="F60" s="156"/>
      <c r="G60"/>
      <c r="H60" s="125" t="s">
        <v>32</v>
      </c>
      <c r="I60" s="205" t="s">
        <v>815</v>
      </c>
      <c r="J60" s="146"/>
      <c r="K60" s="151"/>
      <c r="L60"/>
      <c r="M60" s="125" t="s">
        <v>21</v>
      </c>
      <c r="N60" s="205" t="s">
        <v>815</v>
      </c>
      <c r="O60" s="146"/>
      <c r="P60" s="151"/>
      <c r="Q60"/>
      <c r="R60" s="8"/>
      <c r="S60" s="8"/>
      <c r="T60" s="68" t="s">
        <v>81</v>
      </c>
      <c r="U60"/>
      <c r="V60" t="s">
        <v>81</v>
      </c>
      <c r="W60"/>
      <c r="X60" s="8"/>
      <c r="Y60" t="s">
        <v>80</v>
      </c>
      <c r="Z60"/>
      <c r="AA60"/>
      <c r="AB60" t="str">
        <f>IF(Y60=B60,"TRUE","FALSE")</f>
        <v>TRUE</v>
      </c>
      <c r="AC60"/>
      <c r="AD60"/>
      <c r="AE60"/>
      <c r="AF60" s="47"/>
    </row>
    <row r="61" spans="1:33" ht="15" x14ac:dyDescent="0.25">
      <c r="A61" s="6" t="s">
        <v>85</v>
      </c>
      <c r="B61" s="119" t="s">
        <v>84</v>
      </c>
      <c r="C61" s="120" t="s">
        <v>20</v>
      </c>
      <c r="D61" s="206" t="s">
        <v>816</v>
      </c>
      <c r="E61" s="146"/>
      <c r="F61" s="151"/>
      <c r="G61"/>
      <c r="H61" s="125" t="s">
        <v>32</v>
      </c>
      <c r="I61" s="206" t="s">
        <v>816</v>
      </c>
      <c r="J61" s="146"/>
      <c r="K61" s="151"/>
      <c r="L61"/>
      <c r="M61" s="125" t="s">
        <v>21</v>
      </c>
      <c r="N61" s="206" t="s">
        <v>816</v>
      </c>
      <c r="O61" s="146"/>
      <c r="P61" s="151"/>
      <c r="Q61"/>
      <c r="R61" s="8"/>
      <c r="S61" s="8"/>
      <c r="T61" s="69" t="s">
        <v>85</v>
      </c>
      <c r="U61"/>
      <c r="V61" t="s">
        <v>85</v>
      </c>
      <c r="W61"/>
      <c r="X61" s="8"/>
      <c r="Y61" t="s">
        <v>84</v>
      </c>
      <c r="Z61"/>
      <c r="AA61"/>
      <c r="AB61" t="str">
        <f t="shared" ref="AB61:AB71" si="1">IF(Y61=B61,"TRUE","FALSE")</f>
        <v>TRUE</v>
      </c>
      <c r="AC61"/>
      <c r="AD61"/>
      <c r="AE61"/>
      <c r="AF61" s="70"/>
    </row>
    <row r="62" spans="1:33" s="72" customFormat="1" ht="13.5" customHeight="1" x14ac:dyDescent="0.25">
      <c r="B62" s="119" t="s">
        <v>86</v>
      </c>
      <c r="C62" s="120" t="s">
        <v>20</v>
      </c>
      <c r="D62" s="205" t="s">
        <v>815</v>
      </c>
      <c r="E62" s="146"/>
      <c r="F62" s="151"/>
      <c r="G62"/>
      <c r="H62" s="125" t="s">
        <v>32</v>
      </c>
      <c r="I62" s="205" t="s">
        <v>815</v>
      </c>
      <c r="J62" s="146"/>
      <c r="K62" s="151"/>
      <c r="L62"/>
      <c r="M62" s="125" t="s">
        <v>851</v>
      </c>
      <c r="N62" s="205" t="s">
        <v>815</v>
      </c>
      <c r="O62" s="146"/>
      <c r="P62" s="151"/>
      <c r="Q62"/>
      <c r="R62" s="8"/>
      <c r="S62" s="8"/>
      <c r="T62" s="69" t="s">
        <v>87</v>
      </c>
      <c r="U62"/>
      <c r="V62" t="s">
        <v>87</v>
      </c>
      <c r="W62"/>
      <c r="X62" s="8"/>
      <c r="Y62" t="s">
        <v>86</v>
      </c>
      <c r="Z62"/>
      <c r="AA62"/>
      <c r="AB62" t="str">
        <f t="shared" si="1"/>
        <v>TRUE</v>
      </c>
      <c r="AC62"/>
      <c r="AD62"/>
      <c r="AE62"/>
      <c r="AF62" s="47"/>
      <c r="AG62" s="71"/>
    </row>
    <row r="63" spans="1:33" ht="14.25" customHeight="1" x14ac:dyDescent="0.25">
      <c r="B63" s="119" t="s">
        <v>90</v>
      </c>
      <c r="C63" s="120" t="s">
        <v>20</v>
      </c>
      <c r="D63" s="205" t="s">
        <v>815</v>
      </c>
      <c r="E63" s="146"/>
      <c r="F63" s="151"/>
      <c r="G63"/>
      <c r="H63" s="125" t="s">
        <v>32</v>
      </c>
      <c r="I63" s="205" t="s">
        <v>815</v>
      </c>
      <c r="J63" s="146"/>
      <c r="K63" s="151"/>
      <c r="L63"/>
      <c r="M63" s="125" t="s">
        <v>851</v>
      </c>
      <c r="N63" s="205" t="s">
        <v>815</v>
      </c>
      <c r="O63" s="146"/>
      <c r="P63" s="151"/>
      <c r="Q63"/>
      <c r="R63" s="8"/>
      <c r="S63" s="8"/>
      <c r="T63" s="69" t="s">
        <v>91</v>
      </c>
      <c r="U63"/>
      <c r="V63" t="s">
        <v>91</v>
      </c>
      <c r="W63"/>
      <c r="X63" s="8"/>
      <c r="Y63" t="s">
        <v>90</v>
      </c>
      <c r="Z63"/>
      <c r="AA63"/>
      <c r="AB63" t="str">
        <f t="shared" si="1"/>
        <v>TRUE</v>
      </c>
      <c r="AC63"/>
      <c r="AD63"/>
      <c r="AE63"/>
    </row>
    <row r="64" spans="1:33" ht="14.25" customHeight="1" x14ac:dyDescent="0.25">
      <c r="B64" s="119" t="s">
        <v>92</v>
      </c>
      <c r="C64" s="120" t="s">
        <v>20</v>
      </c>
      <c r="D64" s="206" t="s">
        <v>816</v>
      </c>
      <c r="E64" s="146"/>
      <c r="F64" s="151"/>
      <c r="G64"/>
      <c r="H64" s="125" t="s">
        <v>32</v>
      </c>
      <c r="I64" s="206" t="s">
        <v>816</v>
      </c>
      <c r="J64" s="146"/>
      <c r="K64" s="151"/>
      <c r="L64"/>
      <c r="M64" s="125" t="s">
        <v>851</v>
      </c>
      <c r="N64" s="206" t="s">
        <v>816</v>
      </c>
      <c r="O64" s="146"/>
      <c r="P64" s="151"/>
      <c r="Q64"/>
      <c r="R64" s="8"/>
      <c r="S64" s="8"/>
      <c r="T64" s="69" t="s">
        <v>93</v>
      </c>
      <c r="U64"/>
      <c r="V64" t="s">
        <v>93</v>
      </c>
      <c r="W64"/>
      <c r="X64" s="8"/>
      <c r="Y64" t="s">
        <v>92</v>
      </c>
      <c r="Z64"/>
      <c r="AA64"/>
      <c r="AB64" t="str">
        <f t="shared" si="1"/>
        <v>TRUE</v>
      </c>
      <c r="AC64"/>
      <c r="AD64"/>
      <c r="AE64"/>
    </row>
    <row r="65" spans="2:33" ht="14.25" customHeight="1" x14ac:dyDescent="0.25">
      <c r="B65" s="119" t="s">
        <v>246</v>
      </c>
      <c r="C65" s="120" t="s">
        <v>20</v>
      </c>
      <c r="D65" s="206" t="s">
        <v>816</v>
      </c>
      <c r="E65" s="146"/>
      <c r="F65" s="151"/>
      <c r="G65"/>
      <c r="H65" s="125" t="s">
        <v>32</v>
      </c>
      <c r="I65" s="205" t="s">
        <v>815</v>
      </c>
      <c r="J65" s="146"/>
      <c r="K65" s="151"/>
      <c r="L65"/>
      <c r="M65" s="125" t="s">
        <v>851</v>
      </c>
      <c r="N65" s="205" t="s">
        <v>815</v>
      </c>
      <c r="O65" s="146"/>
      <c r="P65" s="151"/>
      <c r="Q65"/>
      <c r="R65" s="8"/>
      <c r="S65" s="8"/>
      <c r="T65" s="69"/>
      <c r="U65"/>
      <c r="V65"/>
      <c r="W65"/>
      <c r="X65" s="8"/>
      <c r="Y65"/>
      <c r="Z65"/>
      <c r="AA65"/>
      <c r="AB65"/>
      <c r="AC65"/>
      <c r="AD65"/>
      <c r="AE65"/>
    </row>
    <row r="66" spans="2:33" ht="14.25" customHeight="1" x14ac:dyDescent="0.25">
      <c r="B66" s="119" t="s">
        <v>94</v>
      </c>
      <c r="C66" s="120" t="s">
        <v>20</v>
      </c>
      <c r="D66" s="205" t="s">
        <v>815</v>
      </c>
      <c r="E66" s="146"/>
      <c r="F66" s="151"/>
      <c r="G66"/>
      <c r="H66" s="125" t="s">
        <v>32</v>
      </c>
      <c r="I66" s="205" t="s">
        <v>815</v>
      </c>
      <c r="J66" s="146"/>
      <c r="K66" s="151"/>
      <c r="L66"/>
      <c r="M66" s="125" t="s">
        <v>21</v>
      </c>
      <c r="N66" s="205" t="s">
        <v>815</v>
      </c>
      <c r="O66" s="146"/>
      <c r="P66" s="151"/>
      <c r="Q66"/>
      <c r="R66" s="8"/>
      <c r="S66" s="8"/>
      <c r="T66" s="69" t="s">
        <v>95</v>
      </c>
      <c r="U66"/>
      <c r="V66" t="s">
        <v>95</v>
      </c>
      <c r="W66"/>
      <c r="X66" s="8"/>
      <c r="Y66" t="s">
        <v>94</v>
      </c>
      <c r="Z66"/>
      <c r="AA66"/>
      <c r="AB66" t="str">
        <f t="shared" si="1"/>
        <v>TRUE</v>
      </c>
      <c r="AC66"/>
      <c r="AD66"/>
      <c r="AE66"/>
    </row>
    <row r="67" spans="2:33" ht="14.25" customHeight="1" x14ac:dyDescent="0.25">
      <c r="B67" s="119" t="s">
        <v>96</v>
      </c>
      <c r="C67" s="120" t="s">
        <v>20</v>
      </c>
      <c r="D67" s="147" t="s">
        <v>818</v>
      </c>
      <c r="E67" s="148" t="s">
        <v>818</v>
      </c>
      <c r="F67" s="152" t="s">
        <v>818</v>
      </c>
      <c r="G67"/>
      <c r="H67" s="125" t="s">
        <v>32</v>
      </c>
      <c r="I67" s="147" t="s">
        <v>818</v>
      </c>
      <c r="J67" s="148" t="s">
        <v>818</v>
      </c>
      <c r="K67" s="152" t="s">
        <v>818</v>
      </c>
      <c r="L67"/>
      <c r="M67" s="125" t="s">
        <v>21</v>
      </c>
      <c r="N67" s="147" t="s">
        <v>818</v>
      </c>
      <c r="O67" s="148" t="s">
        <v>818</v>
      </c>
      <c r="P67" s="152" t="s">
        <v>818</v>
      </c>
      <c r="Q67"/>
      <c r="R67" s="8"/>
      <c r="S67" s="8"/>
      <c r="T67" s="69" t="s">
        <v>97</v>
      </c>
      <c r="U67"/>
      <c r="V67" t="s">
        <v>97</v>
      </c>
      <c r="W67"/>
      <c r="X67" s="8"/>
      <c r="Y67" t="s">
        <v>96</v>
      </c>
      <c r="Z67"/>
      <c r="AA67"/>
      <c r="AB67" t="str">
        <f t="shared" si="1"/>
        <v>TRUE</v>
      </c>
      <c r="AC67"/>
      <c r="AD67"/>
      <c r="AE67"/>
    </row>
    <row r="68" spans="2:33" ht="14.25" customHeight="1" x14ac:dyDescent="0.25">
      <c r="B68" s="119" t="s">
        <v>98</v>
      </c>
      <c r="C68" s="120" t="s">
        <v>20</v>
      </c>
      <c r="D68" s="206" t="s">
        <v>816</v>
      </c>
      <c r="E68" s="146"/>
      <c r="F68" s="151"/>
      <c r="G68"/>
      <c r="H68" s="125" t="s">
        <v>32</v>
      </c>
      <c r="I68" s="206" t="s">
        <v>816</v>
      </c>
      <c r="J68" s="146"/>
      <c r="K68" s="151"/>
      <c r="L68"/>
      <c r="M68" s="125" t="s">
        <v>851</v>
      </c>
      <c r="N68" s="206" t="s">
        <v>816</v>
      </c>
      <c r="O68" s="146"/>
      <c r="P68" s="151"/>
      <c r="Q68"/>
      <c r="R68" s="8"/>
      <c r="S68" s="8"/>
      <c r="T68" s="69" t="s">
        <v>99</v>
      </c>
      <c r="U68"/>
      <c r="V68" t="s">
        <v>99</v>
      </c>
      <c r="W68"/>
      <c r="X68" s="8"/>
      <c r="Y68" t="s">
        <v>98</v>
      </c>
      <c r="Z68"/>
      <c r="AA68"/>
      <c r="AB68" t="str">
        <f t="shared" si="1"/>
        <v>TRUE</v>
      </c>
      <c r="AC68"/>
      <c r="AD68"/>
      <c r="AE68"/>
    </row>
    <row r="69" spans="2:33" ht="14.25" customHeight="1" x14ac:dyDescent="0.25">
      <c r="B69" s="119" t="s">
        <v>827</v>
      </c>
      <c r="C69" s="120" t="s">
        <v>20</v>
      </c>
      <c r="D69" s="206" t="s">
        <v>816</v>
      </c>
      <c r="E69" s="146"/>
      <c r="F69" s="151"/>
      <c r="G69"/>
      <c r="H69" s="125" t="s">
        <v>32</v>
      </c>
      <c r="I69" s="205" t="s">
        <v>815</v>
      </c>
      <c r="J69" s="146"/>
      <c r="K69" s="151"/>
      <c r="L69"/>
      <c r="M69" s="125" t="s">
        <v>851</v>
      </c>
      <c r="N69" s="205" t="s">
        <v>815</v>
      </c>
      <c r="O69" s="146"/>
      <c r="P69" s="151"/>
      <c r="Q69"/>
      <c r="R69" s="8"/>
      <c r="S69" s="8"/>
      <c r="T69" s="69" t="s">
        <v>101</v>
      </c>
      <c r="U69"/>
      <c r="V69" t="s">
        <v>101</v>
      </c>
      <c r="W69"/>
      <c r="X69" s="8"/>
      <c r="Y69" t="s">
        <v>100</v>
      </c>
      <c r="Z69"/>
      <c r="AA69"/>
      <c r="AB69" t="str">
        <f t="shared" si="1"/>
        <v>FALSE</v>
      </c>
      <c r="AC69"/>
      <c r="AD69"/>
      <c r="AE69"/>
    </row>
    <row r="70" spans="2:33" ht="14.25" customHeight="1" x14ac:dyDescent="0.25">
      <c r="B70" s="119" t="s">
        <v>828</v>
      </c>
      <c r="C70" s="120" t="s">
        <v>20</v>
      </c>
      <c r="D70" s="206" t="s">
        <v>816</v>
      </c>
      <c r="E70" s="146"/>
      <c r="F70" s="151"/>
      <c r="G70"/>
      <c r="H70" s="125" t="s">
        <v>32</v>
      </c>
      <c r="I70" s="205" t="s">
        <v>815</v>
      </c>
      <c r="J70" s="146"/>
      <c r="K70" s="151"/>
      <c r="L70"/>
      <c r="M70" s="125" t="s">
        <v>851</v>
      </c>
      <c r="N70" s="205" t="s">
        <v>815</v>
      </c>
      <c r="O70" s="146"/>
      <c r="P70" s="151"/>
      <c r="Q70"/>
      <c r="R70" s="8"/>
      <c r="S70" s="8"/>
      <c r="T70" s="69" t="s">
        <v>103</v>
      </c>
      <c r="U70"/>
      <c r="V70" t="s">
        <v>103</v>
      </c>
      <c r="W70"/>
      <c r="X70" s="8"/>
      <c r="Y70" t="s">
        <v>102</v>
      </c>
      <c r="Z70"/>
      <c r="AA70"/>
      <c r="AB70" t="str">
        <f t="shared" si="1"/>
        <v>FALSE</v>
      </c>
      <c r="AC70"/>
      <c r="AD70"/>
      <c r="AE70"/>
    </row>
    <row r="71" spans="2:33" ht="14.25" customHeight="1" thickBot="1" x14ac:dyDescent="0.3">
      <c r="B71" s="121" t="s">
        <v>104</v>
      </c>
      <c r="C71" s="122" t="s">
        <v>20</v>
      </c>
      <c r="D71" s="206" t="s">
        <v>816</v>
      </c>
      <c r="E71" s="153"/>
      <c r="F71" s="154"/>
      <c r="G71"/>
      <c r="H71" s="126" t="s">
        <v>32</v>
      </c>
      <c r="I71" s="206" t="s">
        <v>816</v>
      </c>
      <c r="J71" s="153"/>
      <c r="K71" s="154"/>
      <c r="L71"/>
      <c r="M71" s="126" t="s">
        <v>21</v>
      </c>
      <c r="N71" s="205" t="s">
        <v>815</v>
      </c>
      <c r="O71" s="153"/>
      <c r="P71" s="154"/>
      <c r="Q71"/>
      <c r="R71" s="8"/>
      <c r="S71" s="8"/>
      <c r="T71" s="73" t="s">
        <v>105</v>
      </c>
      <c r="U71"/>
      <c r="V71" t="s">
        <v>105</v>
      </c>
      <c r="W71"/>
      <c r="X71" s="8"/>
      <c r="Y71" t="s">
        <v>104</v>
      </c>
      <c r="Z71"/>
      <c r="AA71"/>
      <c r="AB71" t="str">
        <f t="shared" si="1"/>
        <v>TRUE</v>
      </c>
      <c r="AC71"/>
      <c r="AD71"/>
      <c r="AE71"/>
    </row>
    <row r="72" spans="2:33" ht="14.25" customHeight="1" x14ac:dyDescent="0.25">
      <c r="B72" s="41"/>
      <c r="C72" s="8"/>
      <c r="D72" s="8"/>
      <c r="E72" s="8"/>
      <c r="F72" s="8"/>
      <c r="G72" s="36"/>
      <c r="H72" s="8"/>
      <c r="I72" s="8"/>
      <c r="J72" s="8"/>
      <c r="K72" s="8"/>
      <c r="L72" s="8"/>
      <c r="M72" s="8"/>
      <c r="N72" s="8"/>
      <c r="O72" s="8"/>
      <c r="P72" s="8"/>
      <c r="Q72" s="36"/>
      <c r="R72" s="8"/>
      <c r="S72" s="8"/>
      <c r="T72" s="74"/>
      <c r="V72"/>
      <c r="W72"/>
      <c r="Y72"/>
      <c r="Z72"/>
      <c r="AA72"/>
      <c r="AB72"/>
      <c r="AC72"/>
      <c r="AD72"/>
      <c r="AE72"/>
    </row>
    <row r="73" spans="2:33" s="19" customFormat="1" ht="14.25" customHeight="1" thickBot="1" x14ac:dyDescent="0.3">
      <c r="B73" s="75"/>
      <c r="C73" s="76"/>
      <c r="D73" s="77">
        <v>1</v>
      </c>
      <c r="E73" s="76"/>
      <c r="F73" s="76"/>
      <c r="G73" s="77">
        <v>1</v>
      </c>
      <c r="H73" s="76"/>
      <c r="I73" s="76"/>
      <c r="J73" s="76"/>
      <c r="K73" s="76"/>
      <c r="L73" s="76"/>
      <c r="M73" s="76"/>
      <c r="N73" s="77">
        <v>2</v>
      </c>
      <c r="O73" s="76"/>
      <c r="P73" s="76"/>
      <c r="Q73" s="77">
        <v>2</v>
      </c>
      <c r="R73" s="76"/>
      <c r="S73" s="76"/>
      <c r="T73" s="76"/>
      <c r="U73" s="78"/>
      <c r="V73" s="5"/>
      <c r="W73" s="5"/>
      <c r="X73" s="78"/>
      <c r="Y73"/>
      <c r="Z73"/>
      <c r="AA73"/>
      <c r="AB73"/>
      <c r="AC73"/>
      <c r="AD73"/>
      <c r="AE73"/>
    </row>
    <row r="74" spans="2:33" ht="14.25" customHeight="1" x14ac:dyDescent="0.25">
      <c r="B74" s="79"/>
      <c r="C74" s="246" t="s">
        <v>9</v>
      </c>
      <c r="D74" s="247"/>
      <c r="E74" s="247"/>
      <c r="F74" s="248"/>
      <c r="G74"/>
      <c r="H74" s="80"/>
      <c r="I74" s="8"/>
      <c r="J74" s="8"/>
      <c r="K74" s="8"/>
      <c r="L74" s="79"/>
      <c r="M74" s="246" t="s">
        <v>9</v>
      </c>
      <c r="N74" s="247"/>
      <c r="O74" s="247"/>
      <c r="P74" s="248"/>
      <c r="Q74"/>
      <c r="R74" s="8"/>
      <c r="S74" s="8"/>
      <c r="T74" s="8"/>
      <c r="V74"/>
      <c r="W74"/>
      <c r="Y74"/>
      <c r="Z74"/>
      <c r="AA74"/>
      <c r="AB74"/>
      <c r="AC74"/>
      <c r="AD74"/>
      <c r="AE74"/>
    </row>
    <row r="75" spans="2:33" ht="14.25" customHeight="1" thickBot="1" x14ac:dyDescent="0.3">
      <c r="B75" s="81"/>
      <c r="C75" s="214" t="s">
        <v>14</v>
      </c>
      <c r="D75" s="215" t="s">
        <v>15</v>
      </c>
      <c r="E75" s="215" t="s">
        <v>16</v>
      </c>
      <c r="F75" s="216" t="s">
        <v>17</v>
      </c>
      <c r="G75"/>
      <c r="H75" s="31"/>
      <c r="I75" s="32"/>
      <c r="J75" s="32"/>
      <c r="K75" s="8"/>
      <c r="L75" s="81"/>
      <c r="M75" s="214" t="s">
        <v>14</v>
      </c>
      <c r="N75" s="215" t="s">
        <v>15</v>
      </c>
      <c r="O75" s="215" t="s">
        <v>16</v>
      </c>
      <c r="P75" s="216" t="s">
        <v>17</v>
      </c>
      <c r="Q75"/>
      <c r="R75" s="8"/>
      <c r="S75" s="8"/>
      <c r="T75" s="98">
        <v>1</v>
      </c>
      <c r="U75" s="98">
        <v>2</v>
      </c>
      <c r="V75"/>
      <c r="W75"/>
      <c r="X75" s="6"/>
      <c r="Y75"/>
      <c r="Z75"/>
      <c r="AA75"/>
      <c r="AB75"/>
      <c r="AC75"/>
      <c r="AD75"/>
      <c r="AE75"/>
    </row>
    <row r="76" spans="2:33" ht="14.25" customHeight="1" x14ac:dyDescent="0.25">
      <c r="B76" s="157" t="s">
        <v>469</v>
      </c>
      <c r="C76" s="128" t="s">
        <v>21</v>
      </c>
      <c r="D76" s="205" t="s">
        <v>815</v>
      </c>
      <c r="E76" s="155"/>
      <c r="F76" s="156"/>
      <c r="G76"/>
      <c r="H76" s="8"/>
      <c r="I76" s="8"/>
      <c r="J76" s="8"/>
      <c r="K76" s="254" t="s">
        <v>472</v>
      </c>
      <c r="L76" s="255"/>
      <c r="M76" s="128" t="s">
        <v>851</v>
      </c>
      <c r="N76" s="205" t="s">
        <v>815</v>
      </c>
      <c r="O76" s="155"/>
      <c r="P76" s="156"/>
      <c r="Q76"/>
      <c r="R76" s="8"/>
      <c r="S76" s="8"/>
      <c r="T76" s="68" t="s">
        <v>453</v>
      </c>
      <c r="U76" s="82" t="s">
        <v>453</v>
      </c>
      <c r="V76" t="s">
        <v>453</v>
      </c>
      <c r="W76" t="s">
        <v>453</v>
      </c>
      <c r="X76" s="6"/>
      <c r="Y76" t="s">
        <v>469</v>
      </c>
      <c r="Z76"/>
      <c r="AA76"/>
      <c r="AB76" t="str">
        <f>IF(Y76=B76,"TRUE","FALSE")</f>
        <v>TRUE</v>
      </c>
      <c r="AC76"/>
      <c r="AD76" s="105" t="s">
        <v>472</v>
      </c>
      <c r="AE76"/>
      <c r="AG76" t="str">
        <f>IF(AD76=K76,"TRUE","FALSE")</f>
        <v>TRUE</v>
      </c>
    </row>
    <row r="77" spans="2:33" ht="14.25" customHeight="1" x14ac:dyDescent="0.25">
      <c r="B77" s="158" t="s">
        <v>800</v>
      </c>
      <c r="C77" s="128" t="s">
        <v>851</v>
      </c>
      <c r="D77" s="205" t="s">
        <v>815</v>
      </c>
      <c r="E77" s="155"/>
      <c r="F77" s="156"/>
      <c r="G77"/>
      <c r="H77" s="8"/>
      <c r="I77" s="8"/>
      <c r="J77" s="8"/>
      <c r="K77" s="244" t="s">
        <v>186</v>
      </c>
      <c r="L77" s="245"/>
      <c r="M77" s="128" t="s">
        <v>21</v>
      </c>
      <c r="N77" s="205" t="s">
        <v>815</v>
      </c>
      <c r="O77" s="146"/>
      <c r="P77" s="151"/>
      <c r="Q77"/>
      <c r="R77" s="8"/>
      <c r="S77" s="8"/>
      <c r="T77" s="68" t="s">
        <v>453</v>
      </c>
      <c r="U77" s="83" t="s">
        <v>453</v>
      </c>
      <c r="V77" t="s">
        <v>453</v>
      </c>
      <c r="W77" t="s">
        <v>453</v>
      </c>
      <c r="X77" s="6"/>
      <c r="Y77" t="s">
        <v>106</v>
      </c>
      <c r="Z77"/>
      <c r="AA77"/>
      <c r="AB77" t="str">
        <f>IF(Y77=B78,"TRUE","FALSE")</f>
        <v>TRUE</v>
      </c>
      <c r="AC77"/>
      <c r="AD77" t="s">
        <v>186</v>
      </c>
      <c r="AE77"/>
      <c r="AG77" t="str">
        <f>IF(AD77=K77,"TRUE","FALSE")</f>
        <v>TRUE</v>
      </c>
    </row>
    <row r="78" spans="2:33" ht="14.25" customHeight="1" x14ac:dyDescent="0.25">
      <c r="B78" s="158" t="s">
        <v>106</v>
      </c>
      <c r="C78" s="110" t="s">
        <v>851</v>
      </c>
      <c r="D78" s="205" t="s">
        <v>815</v>
      </c>
      <c r="E78" s="146"/>
      <c r="F78" s="151"/>
      <c r="G78"/>
      <c r="H78" s="8"/>
      <c r="I78" s="8"/>
      <c r="J78" s="8"/>
      <c r="K78" s="244" t="s">
        <v>82</v>
      </c>
      <c r="L78" s="245"/>
      <c r="M78" s="110" t="s">
        <v>21</v>
      </c>
      <c r="N78" s="205" t="s">
        <v>815</v>
      </c>
      <c r="O78" s="146"/>
      <c r="P78" s="151"/>
      <c r="Q78"/>
      <c r="R78" s="8"/>
      <c r="S78" s="8"/>
      <c r="T78" s="69" t="s">
        <v>453</v>
      </c>
      <c r="U78" s="83" t="s">
        <v>453</v>
      </c>
      <c r="V78" t="s">
        <v>453</v>
      </c>
      <c r="W78" t="s">
        <v>453</v>
      </c>
      <c r="X78" s="6"/>
      <c r="Y78" t="s">
        <v>110</v>
      </c>
      <c r="Z78"/>
      <c r="AA78"/>
      <c r="AB78" t="str">
        <f>IF(Y78=B79,"TRUE","FALSE")</f>
        <v>TRUE</v>
      </c>
      <c r="AC78"/>
      <c r="AD78" t="s">
        <v>810</v>
      </c>
      <c r="AE78"/>
      <c r="AG78" t="e">
        <f>IF(AD78=#REF!,"TRUE","FALSE")</f>
        <v>#REF!</v>
      </c>
    </row>
    <row r="79" spans="2:33" ht="14.25" customHeight="1" x14ac:dyDescent="0.25">
      <c r="B79" s="158" t="s">
        <v>110</v>
      </c>
      <c r="C79" s="128" t="s">
        <v>851</v>
      </c>
      <c r="D79" s="206" t="s">
        <v>816</v>
      </c>
      <c r="E79" s="146"/>
      <c r="F79" s="151"/>
      <c r="G79"/>
      <c r="H79" s="8"/>
      <c r="I79" s="8"/>
      <c r="J79" s="8"/>
      <c r="K79" s="244" t="s">
        <v>473</v>
      </c>
      <c r="L79" s="245"/>
      <c r="M79" s="128" t="s">
        <v>851</v>
      </c>
      <c r="N79" s="205" t="s">
        <v>815</v>
      </c>
      <c r="O79" s="146"/>
      <c r="P79" s="151"/>
      <c r="Q79"/>
      <c r="R79" s="8"/>
      <c r="S79" s="8"/>
      <c r="T79" s="69" t="s">
        <v>453</v>
      </c>
      <c r="U79" s="83" t="s">
        <v>453</v>
      </c>
      <c r="V79" t="s">
        <v>453</v>
      </c>
      <c r="W79" t="s">
        <v>453</v>
      </c>
      <c r="X79" s="6"/>
      <c r="Y79" t="s">
        <v>114</v>
      </c>
      <c r="Z79"/>
      <c r="AA79"/>
      <c r="AB79" t="e">
        <f>IF(Y79=#REF!,"TRUE","FALSE")</f>
        <v>#REF!</v>
      </c>
      <c r="AC79"/>
      <c r="AD79" t="s">
        <v>473</v>
      </c>
      <c r="AE79"/>
      <c r="AG79" t="str">
        <f>IF(AD79=K79,"TRUE","FALSE")</f>
        <v>TRUE</v>
      </c>
    </row>
    <row r="80" spans="2:33" ht="14.25" customHeight="1" x14ac:dyDescent="0.25">
      <c r="B80" s="158" t="s">
        <v>470</v>
      </c>
      <c r="C80" s="128" t="s">
        <v>851</v>
      </c>
      <c r="D80" s="205" t="s">
        <v>815</v>
      </c>
      <c r="E80" s="146"/>
      <c r="F80" s="151"/>
      <c r="G80"/>
      <c r="H80" s="8"/>
      <c r="I80" s="8"/>
      <c r="J80" s="8"/>
      <c r="K80" s="244" t="s">
        <v>111</v>
      </c>
      <c r="L80" s="245"/>
      <c r="M80" s="128" t="s">
        <v>851</v>
      </c>
      <c r="N80" s="205" t="s">
        <v>815</v>
      </c>
      <c r="O80" s="146"/>
      <c r="P80" s="151"/>
      <c r="Q80"/>
      <c r="R80" s="8"/>
      <c r="S80" s="8"/>
      <c r="T80" s="69" t="s">
        <v>453</v>
      </c>
      <c r="U80" s="83" t="s">
        <v>453</v>
      </c>
      <c r="V80" t="s">
        <v>453</v>
      </c>
      <c r="W80" t="e">
        <f>INDEX('Country Code LU'!$B$2:$B$250,MATCH('Priority Manifest'!#REF!,'Country Code LU'!$A$2:$A$250,0))</f>
        <v>#REF!</v>
      </c>
      <c r="X80" s="6"/>
      <c r="Y80" t="s">
        <v>470</v>
      </c>
      <c r="Z80"/>
      <c r="AA80"/>
      <c r="AB80" t="str">
        <f t="shared" ref="AB80:AB82" si="2">IF(Y80=B80,"TRUE","FALSE")</f>
        <v>TRUE</v>
      </c>
      <c r="AC80"/>
      <c r="AD80" t="s">
        <v>111</v>
      </c>
      <c r="AE80"/>
      <c r="AG80" t="e">
        <f>IF(AD80=#REF!,"TRUE","FALSE")</f>
        <v>#REF!</v>
      </c>
    </row>
    <row r="81" spans="2:33" ht="14.25" customHeight="1" x14ac:dyDescent="0.25">
      <c r="B81" s="158" t="s">
        <v>118</v>
      </c>
      <c r="C81" s="110" t="s">
        <v>21</v>
      </c>
      <c r="D81" s="205" t="s">
        <v>815</v>
      </c>
      <c r="E81" s="146"/>
      <c r="F81" s="151"/>
      <c r="G81"/>
      <c r="H81" s="8"/>
      <c r="I81" s="8"/>
      <c r="J81" s="8"/>
      <c r="K81" s="244" t="s">
        <v>115</v>
      </c>
      <c r="L81" s="245"/>
      <c r="M81" s="128" t="s">
        <v>851</v>
      </c>
      <c r="N81" s="205" t="s">
        <v>815</v>
      </c>
      <c r="O81" s="146"/>
      <c r="P81" s="151"/>
      <c r="Q81"/>
      <c r="R81" s="8"/>
      <c r="S81" s="8"/>
      <c r="T81" s="69" t="s">
        <v>453</v>
      </c>
      <c r="U81" s="83" t="s">
        <v>453</v>
      </c>
      <c r="V81" t="s">
        <v>453</v>
      </c>
      <c r="W81" t="s">
        <v>453</v>
      </c>
      <c r="X81" s="6"/>
      <c r="Y81" t="s">
        <v>118</v>
      </c>
      <c r="Z81"/>
      <c r="AA81"/>
      <c r="AB81" t="str">
        <f t="shared" si="2"/>
        <v>TRUE</v>
      </c>
      <c r="AC81"/>
      <c r="AD81" t="s">
        <v>115</v>
      </c>
      <c r="AE81"/>
      <c r="AG81" t="str">
        <f t="shared" ref="AG81:AG82" si="3">IF(AD81=K81,"TRUE","FALSE")</f>
        <v>TRUE</v>
      </c>
    </row>
    <row r="82" spans="2:33" ht="14.25" customHeight="1" x14ac:dyDescent="0.25">
      <c r="B82" s="158" t="s">
        <v>122</v>
      </c>
      <c r="C82" s="128" t="s">
        <v>851</v>
      </c>
      <c r="D82" s="205" t="s">
        <v>815</v>
      </c>
      <c r="E82" s="146"/>
      <c r="F82" s="151"/>
      <c r="G82"/>
      <c r="H82" s="8"/>
      <c r="I82" s="8"/>
      <c r="J82" s="8"/>
      <c r="K82" s="244" t="s">
        <v>119</v>
      </c>
      <c r="L82" s="245"/>
      <c r="M82" s="128" t="s">
        <v>851</v>
      </c>
      <c r="N82" s="205" t="s">
        <v>815</v>
      </c>
      <c r="O82" s="146"/>
      <c r="P82" s="151"/>
      <c r="Q82"/>
      <c r="R82" s="8"/>
      <c r="S82" s="8"/>
      <c r="T82" s="69" t="s">
        <v>453</v>
      </c>
      <c r="U82" s="83" t="s">
        <v>453</v>
      </c>
      <c r="V82" t="s">
        <v>453</v>
      </c>
      <c r="W82" t="s">
        <v>453</v>
      </c>
      <c r="X82" s="6"/>
      <c r="Y82" t="s">
        <v>122</v>
      </c>
      <c r="Z82"/>
      <c r="AA82"/>
      <c r="AB82" t="str">
        <f t="shared" si="2"/>
        <v>TRUE</v>
      </c>
      <c r="AC82"/>
      <c r="AD82" t="s">
        <v>119</v>
      </c>
      <c r="AE82"/>
      <c r="AG82" t="str">
        <f t="shared" si="3"/>
        <v>TRUE</v>
      </c>
    </row>
    <row r="83" spans="2:33" ht="14.25" customHeight="1" x14ac:dyDescent="0.25">
      <c r="B83" s="158" t="s">
        <v>130</v>
      </c>
      <c r="C83" s="128" t="s">
        <v>851</v>
      </c>
      <c r="D83" s="205" t="s">
        <v>815</v>
      </c>
      <c r="E83" s="146"/>
      <c r="F83" s="151"/>
      <c r="G83"/>
      <c r="H83" s="8"/>
      <c r="I83" s="8"/>
      <c r="J83" s="8"/>
      <c r="K83" s="244" t="s">
        <v>825</v>
      </c>
      <c r="L83" s="245"/>
      <c r="M83" s="110" t="s">
        <v>21</v>
      </c>
      <c r="N83" s="205" t="s">
        <v>815</v>
      </c>
      <c r="O83" s="146"/>
      <c r="P83" s="151"/>
      <c r="Q83"/>
      <c r="R83" s="8"/>
      <c r="S83" s="8"/>
      <c r="T83" s="69" t="s">
        <v>453</v>
      </c>
      <c r="U83" s="83" t="s">
        <v>453</v>
      </c>
      <c r="V83" t="s">
        <v>453</v>
      </c>
      <c r="W83" t="s">
        <v>453</v>
      </c>
      <c r="X83" s="6"/>
      <c r="Y83" t="s">
        <v>126</v>
      </c>
      <c r="Z83"/>
      <c r="AA83"/>
      <c r="AB83" t="e">
        <f>IF(Y83=#REF!,"TRUE","FALSE")</f>
        <v>#REF!</v>
      </c>
      <c r="AC83"/>
      <c r="AD83" t="s">
        <v>123</v>
      </c>
      <c r="AE83"/>
      <c r="AG83" t="str">
        <f t="shared" ref="AG83:AG94" si="4">IF(AD83=K84,"TRUE","FALSE")</f>
        <v>TRUE</v>
      </c>
    </row>
    <row r="84" spans="2:33" ht="14.25" customHeight="1" x14ac:dyDescent="0.25">
      <c r="B84" s="158" t="s">
        <v>134</v>
      </c>
      <c r="C84" s="128" t="s">
        <v>851</v>
      </c>
      <c r="D84" s="205" t="s">
        <v>815</v>
      </c>
      <c r="E84" s="146"/>
      <c r="F84" s="151"/>
      <c r="G84"/>
      <c r="H84" s="8"/>
      <c r="I84" s="8"/>
      <c r="J84" s="8"/>
      <c r="K84" s="244" t="s">
        <v>123</v>
      </c>
      <c r="L84" s="245"/>
      <c r="M84" s="128" t="s">
        <v>851</v>
      </c>
      <c r="N84" s="205" t="s">
        <v>815</v>
      </c>
      <c r="O84" s="146"/>
      <c r="P84" s="151"/>
      <c r="Q84"/>
      <c r="R84" s="8"/>
      <c r="S84" s="8"/>
      <c r="T84" s="69" t="s">
        <v>453</v>
      </c>
      <c r="U84" s="83" t="s">
        <v>453</v>
      </c>
      <c r="V84" t="s">
        <v>453</v>
      </c>
      <c r="W84" t="s">
        <v>453</v>
      </c>
      <c r="X84" s="6"/>
      <c r="Y84" t="s">
        <v>130</v>
      </c>
      <c r="Z84"/>
      <c r="AA84"/>
      <c r="AB84" t="str">
        <f t="shared" ref="AB84:AB99" si="5">IF(Y84=B83,"TRUE","FALSE")</f>
        <v>TRUE</v>
      </c>
      <c r="AC84"/>
      <c r="AD84" t="s">
        <v>127</v>
      </c>
      <c r="AE84"/>
      <c r="AG84" t="str">
        <f t="shared" si="4"/>
        <v>TRUE</v>
      </c>
    </row>
    <row r="85" spans="2:33" ht="14.25" customHeight="1" x14ac:dyDescent="0.25">
      <c r="B85" s="158" t="s">
        <v>138</v>
      </c>
      <c r="C85" s="128" t="s">
        <v>851</v>
      </c>
      <c r="D85" s="205" t="s">
        <v>815</v>
      </c>
      <c r="E85" s="146"/>
      <c r="F85" s="151"/>
      <c r="G85"/>
      <c r="H85" s="8"/>
      <c r="I85" s="8"/>
      <c r="J85" s="8"/>
      <c r="K85" s="244" t="s">
        <v>127</v>
      </c>
      <c r="L85" s="245"/>
      <c r="M85" s="128" t="s">
        <v>851</v>
      </c>
      <c r="N85" s="205" t="s">
        <v>815</v>
      </c>
      <c r="O85" s="146"/>
      <c r="P85" s="151"/>
      <c r="Q85"/>
      <c r="R85" s="8"/>
      <c r="S85" s="8"/>
      <c r="T85" s="69" t="s">
        <v>453</v>
      </c>
      <c r="U85" s="83" t="s">
        <v>453</v>
      </c>
      <c r="V85" t="s">
        <v>453</v>
      </c>
      <c r="W85" t="s">
        <v>453</v>
      </c>
      <c r="X85" s="6"/>
      <c r="Y85" t="s">
        <v>134</v>
      </c>
      <c r="Z85"/>
      <c r="AA85"/>
      <c r="AB85" t="str">
        <f t="shared" si="5"/>
        <v>TRUE</v>
      </c>
      <c r="AC85"/>
      <c r="AD85" t="s">
        <v>131</v>
      </c>
      <c r="AE85"/>
      <c r="AG85" t="str">
        <f t="shared" si="4"/>
        <v>TRUE</v>
      </c>
    </row>
    <row r="86" spans="2:33" ht="14.25" customHeight="1" x14ac:dyDescent="0.25">
      <c r="B86" s="158" t="s">
        <v>142</v>
      </c>
      <c r="C86" s="128" t="s">
        <v>851</v>
      </c>
      <c r="D86" s="205" t="s">
        <v>815</v>
      </c>
      <c r="E86" s="146"/>
      <c r="F86" s="151"/>
      <c r="G86"/>
      <c r="H86" s="8"/>
      <c r="I86" s="8"/>
      <c r="J86" s="8"/>
      <c r="K86" s="244" t="s">
        <v>131</v>
      </c>
      <c r="L86" s="245"/>
      <c r="M86" s="128" t="s">
        <v>851</v>
      </c>
      <c r="N86" s="205" t="s">
        <v>815</v>
      </c>
      <c r="O86" s="146"/>
      <c r="P86" s="151"/>
      <c r="Q86"/>
      <c r="R86" s="8"/>
      <c r="S86" s="8"/>
      <c r="T86" s="69" t="s">
        <v>453</v>
      </c>
      <c r="U86" s="83" t="s">
        <v>453</v>
      </c>
      <c r="V86" t="s">
        <v>453</v>
      </c>
      <c r="W86" t="s">
        <v>453</v>
      </c>
      <c r="X86" s="6"/>
      <c r="Y86" t="s">
        <v>138</v>
      </c>
      <c r="Z86"/>
      <c r="AA86"/>
      <c r="AB86" t="str">
        <f t="shared" si="5"/>
        <v>TRUE</v>
      </c>
      <c r="AC86"/>
      <c r="AD86" t="s">
        <v>135</v>
      </c>
      <c r="AE86"/>
      <c r="AG86" t="str">
        <f t="shared" si="4"/>
        <v>TRUE</v>
      </c>
    </row>
    <row r="87" spans="2:33" ht="14.25" customHeight="1" x14ac:dyDescent="0.25">
      <c r="B87" s="158" t="s">
        <v>146</v>
      </c>
      <c r="C87" s="128" t="s">
        <v>851</v>
      </c>
      <c r="D87" s="205" t="s">
        <v>815</v>
      </c>
      <c r="E87" s="146"/>
      <c r="F87" s="151"/>
      <c r="G87"/>
      <c r="H87" s="8"/>
      <c r="I87" s="8"/>
      <c r="J87" s="8"/>
      <c r="K87" s="244" t="s">
        <v>135</v>
      </c>
      <c r="L87" s="245"/>
      <c r="M87" s="128" t="s">
        <v>851</v>
      </c>
      <c r="N87" s="205" t="s">
        <v>815</v>
      </c>
      <c r="O87" s="146"/>
      <c r="P87" s="151"/>
      <c r="Q87"/>
      <c r="R87" s="8"/>
      <c r="S87" s="8"/>
      <c r="T87" s="69" t="s">
        <v>453</v>
      </c>
      <c r="U87" s="83" t="s">
        <v>453</v>
      </c>
      <c r="V87" t="s">
        <v>453</v>
      </c>
      <c r="W87" t="s">
        <v>453</v>
      </c>
      <c r="X87" s="6"/>
      <c r="Y87" t="s">
        <v>142</v>
      </c>
      <c r="Z87"/>
      <c r="AA87"/>
      <c r="AB87" t="str">
        <f t="shared" si="5"/>
        <v>TRUE</v>
      </c>
      <c r="AC87"/>
      <c r="AD87" t="s">
        <v>811</v>
      </c>
      <c r="AE87"/>
      <c r="AG87" t="str">
        <f t="shared" si="4"/>
        <v>FALSE</v>
      </c>
    </row>
    <row r="88" spans="2:33" ht="14.25" customHeight="1" x14ac:dyDescent="0.25">
      <c r="B88" s="158" t="s">
        <v>471</v>
      </c>
      <c r="C88" s="128" t="s">
        <v>851</v>
      </c>
      <c r="D88" s="205" t="s">
        <v>815</v>
      </c>
      <c r="E88" s="146"/>
      <c r="F88" s="151"/>
      <c r="G88"/>
      <c r="H88" s="8"/>
      <c r="I88" s="8"/>
      <c r="J88" s="8"/>
      <c r="K88" s="244" t="s">
        <v>139</v>
      </c>
      <c r="L88" s="245"/>
      <c r="M88" s="128" t="s">
        <v>851</v>
      </c>
      <c r="N88" s="205" t="s">
        <v>815</v>
      </c>
      <c r="O88" s="146"/>
      <c r="P88" s="151"/>
      <c r="Q88"/>
      <c r="R88" s="8"/>
      <c r="S88" s="8"/>
      <c r="T88" s="69" t="s">
        <v>453</v>
      </c>
      <c r="U88" s="83" t="s">
        <v>453</v>
      </c>
      <c r="V88" t="s">
        <v>453</v>
      </c>
      <c r="W88" t="s">
        <v>453</v>
      </c>
      <c r="X88" s="6"/>
      <c r="Y88" t="s">
        <v>146</v>
      </c>
      <c r="Z88"/>
      <c r="AA88"/>
      <c r="AB88" t="str">
        <f t="shared" si="5"/>
        <v>TRUE</v>
      </c>
      <c r="AC88"/>
      <c r="AD88" t="s">
        <v>143</v>
      </c>
      <c r="AE88"/>
      <c r="AG88" t="str">
        <f t="shared" si="4"/>
        <v>TRUE</v>
      </c>
    </row>
    <row r="89" spans="2:33" ht="14.25" customHeight="1" x14ac:dyDescent="0.25">
      <c r="B89" s="158" t="s">
        <v>150</v>
      </c>
      <c r="C89" s="128" t="s">
        <v>851</v>
      </c>
      <c r="D89" s="205" t="s">
        <v>815</v>
      </c>
      <c r="E89" s="146"/>
      <c r="F89" s="151"/>
      <c r="G89"/>
      <c r="H89" s="8"/>
      <c r="I89" s="8"/>
      <c r="J89" s="8"/>
      <c r="K89" s="244" t="s">
        <v>143</v>
      </c>
      <c r="L89" s="245"/>
      <c r="M89" s="128" t="s">
        <v>851</v>
      </c>
      <c r="N89" s="205" t="s">
        <v>815</v>
      </c>
      <c r="O89" s="146"/>
      <c r="P89" s="151"/>
      <c r="Q89"/>
      <c r="R89" s="8"/>
      <c r="S89" s="8"/>
      <c r="T89" s="69" t="s">
        <v>453</v>
      </c>
      <c r="U89" s="83" t="s">
        <v>453</v>
      </c>
      <c r="V89" t="s">
        <v>453</v>
      </c>
      <c r="W89" t="s">
        <v>453</v>
      </c>
      <c r="X89" s="6"/>
      <c r="Y89" t="s">
        <v>471</v>
      </c>
      <c r="Z89"/>
      <c r="AA89"/>
      <c r="AB89" t="str">
        <f t="shared" si="5"/>
        <v>TRUE</v>
      </c>
      <c r="AC89"/>
      <c r="AD89" t="s">
        <v>147</v>
      </c>
      <c r="AE89"/>
      <c r="AG89" t="str">
        <f t="shared" si="4"/>
        <v>TRUE</v>
      </c>
    </row>
    <row r="90" spans="2:33" ht="14.25" customHeight="1" x14ac:dyDescent="0.25">
      <c r="B90" s="158" t="s">
        <v>484</v>
      </c>
      <c r="C90" s="128" t="s">
        <v>851</v>
      </c>
      <c r="D90" s="205" t="s">
        <v>815</v>
      </c>
      <c r="E90" s="146"/>
      <c r="F90" s="151"/>
      <c r="G90"/>
      <c r="H90" s="8"/>
      <c r="I90" s="8"/>
      <c r="J90" s="8"/>
      <c r="K90" s="244" t="s">
        <v>147</v>
      </c>
      <c r="L90" s="245"/>
      <c r="M90" s="128" t="s">
        <v>851</v>
      </c>
      <c r="N90" s="205" t="s">
        <v>815</v>
      </c>
      <c r="O90" s="146"/>
      <c r="P90" s="151"/>
      <c r="Q90"/>
      <c r="R90" s="8"/>
      <c r="S90" s="8"/>
      <c r="T90" s="69" t="s">
        <v>453</v>
      </c>
      <c r="U90" s="83" t="s">
        <v>453</v>
      </c>
      <c r="V90" t="s">
        <v>453</v>
      </c>
      <c r="W90" t="s">
        <v>453</v>
      </c>
      <c r="X90" s="6"/>
      <c r="Y90" t="s">
        <v>150</v>
      </c>
      <c r="Z90"/>
      <c r="AA90"/>
      <c r="AB90" t="str">
        <f t="shared" si="5"/>
        <v>TRUE</v>
      </c>
      <c r="AC90"/>
      <c r="AD90" t="s">
        <v>151</v>
      </c>
      <c r="AE90"/>
      <c r="AG90" t="str">
        <f t="shared" si="4"/>
        <v>TRUE</v>
      </c>
    </row>
    <row r="91" spans="2:33" ht="14.25" customHeight="1" x14ac:dyDescent="0.25">
      <c r="B91" s="158" t="s">
        <v>154</v>
      </c>
      <c r="C91" s="128" t="s">
        <v>851</v>
      </c>
      <c r="D91" s="205" t="s">
        <v>815</v>
      </c>
      <c r="E91" s="146"/>
      <c r="F91" s="151"/>
      <c r="G91"/>
      <c r="H91" s="8"/>
      <c r="I91" s="8"/>
      <c r="J91" s="8"/>
      <c r="K91" s="244" t="s">
        <v>151</v>
      </c>
      <c r="L91" s="245"/>
      <c r="M91" s="128" t="s">
        <v>21</v>
      </c>
      <c r="N91" s="205" t="s">
        <v>815</v>
      </c>
      <c r="O91" s="146"/>
      <c r="P91" s="151"/>
      <c r="Q91"/>
      <c r="R91" s="8"/>
      <c r="S91" s="8"/>
      <c r="T91" s="69" t="s">
        <v>453</v>
      </c>
      <c r="U91" s="83" t="s">
        <v>453</v>
      </c>
      <c r="V91" t="s">
        <v>453</v>
      </c>
      <c r="W91" t="s">
        <v>453</v>
      </c>
      <c r="X91" s="6"/>
      <c r="Y91" t="s">
        <v>484</v>
      </c>
      <c r="Z91"/>
      <c r="AA91"/>
      <c r="AB91" t="str">
        <f t="shared" si="5"/>
        <v>TRUE</v>
      </c>
      <c r="AC91"/>
      <c r="AD91" t="s">
        <v>155</v>
      </c>
      <c r="AE91"/>
      <c r="AG91" t="str">
        <f t="shared" si="4"/>
        <v>TRUE</v>
      </c>
    </row>
    <row r="92" spans="2:33" ht="14.25" customHeight="1" x14ac:dyDescent="0.25">
      <c r="B92" s="158" t="s">
        <v>158</v>
      </c>
      <c r="C92" s="128" t="s">
        <v>851</v>
      </c>
      <c r="D92" s="205" t="s">
        <v>815</v>
      </c>
      <c r="E92" s="146"/>
      <c r="F92" s="151"/>
      <c r="G92"/>
      <c r="H92" s="8"/>
      <c r="I92" s="8"/>
      <c r="J92" s="8"/>
      <c r="K92" s="244" t="s">
        <v>155</v>
      </c>
      <c r="L92" s="245"/>
      <c r="M92" s="128" t="s">
        <v>21</v>
      </c>
      <c r="N92" s="205" t="s">
        <v>815</v>
      </c>
      <c r="O92" s="146"/>
      <c r="P92" s="151"/>
      <c r="Q92"/>
      <c r="R92" s="8"/>
      <c r="S92" s="8"/>
      <c r="T92" s="69" t="s">
        <v>453</v>
      </c>
      <c r="U92" s="83" t="s">
        <v>453</v>
      </c>
      <c r="V92" t="s">
        <v>453</v>
      </c>
      <c r="W92" t="s">
        <v>453</v>
      </c>
      <c r="X92" s="6"/>
      <c r="Y92" t="s">
        <v>154</v>
      </c>
      <c r="Z92"/>
      <c r="AA92"/>
      <c r="AB92" t="str">
        <f t="shared" si="5"/>
        <v>TRUE</v>
      </c>
      <c r="AC92"/>
      <c r="AD92" t="s">
        <v>159</v>
      </c>
      <c r="AE92"/>
      <c r="AG92" t="str">
        <f t="shared" si="4"/>
        <v>TRUE</v>
      </c>
    </row>
    <row r="93" spans="2:33" ht="14.25" customHeight="1" x14ac:dyDescent="0.25">
      <c r="B93" s="158" t="s">
        <v>162</v>
      </c>
      <c r="C93" s="128" t="s">
        <v>851</v>
      </c>
      <c r="D93" s="205" t="s">
        <v>815</v>
      </c>
      <c r="E93" s="146"/>
      <c r="F93" s="151"/>
      <c r="G93"/>
      <c r="H93" s="8"/>
      <c r="I93" s="8"/>
      <c r="J93" s="8"/>
      <c r="K93" s="244" t="s">
        <v>159</v>
      </c>
      <c r="L93" s="245"/>
      <c r="M93" s="128" t="s">
        <v>851</v>
      </c>
      <c r="N93" s="205" t="s">
        <v>815</v>
      </c>
      <c r="O93" s="146"/>
      <c r="P93" s="151"/>
      <c r="Q93"/>
      <c r="R93" s="8"/>
      <c r="S93" s="8"/>
      <c r="T93" s="69" t="s">
        <v>453</v>
      </c>
      <c r="U93" s="83" t="s">
        <v>453</v>
      </c>
      <c r="V93" t="s">
        <v>453</v>
      </c>
      <c r="W93" t="s">
        <v>453</v>
      </c>
      <c r="X93" s="6"/>
      <c r="Y93" t="s">
        <v>158</v>
      </c>
      <c r="Z93"/>
      <c r="AA93"/>
      <c r="AB93" t="str">
        <f t="shared" si="5"/>
        <v>TRUE</v>
      </c>
      <c r="AC93"/>
      <c r="AD93" t="s">
        <v>163</v>
      </c>
      <c r="AE93"/>
      <c r="AG93" t="str">
        <f t="shared" si="4"/>
        <v>TRUE</v>
      </c>
    </row>
    <row r="94" spans="2:33" ht="14.25" customHeight="1" x14ac:dyDescent="0.25">
      <c r="B94" s="158" t="s">
        <v>166</v>
      </c>
      <c r="C94" s="128" t="s">
        <v>851</v>
      </c>
      <c r="D94" s="205" t="s">
        <v>815</v>
      </c>
      <c r="E94" s="146"/>
      <c r="F94" s="151"/>
      <c r="G94"/>
      <c r="H94" s="8"/>
      <c r="I94" s="8"/>
      <c r="J94" s="8"/>
      <c r="K94" s="244" t="s">
        <v>163</v>
      </c>
      <c r="L94" s="245"/>
      <c r="M94" s="128" t="s">
        <v>851</v>
      </c>
      <c r="N94" s="205" t="s">
        <v>815</v>
      </c>
      <c r="O94" s="146"/>
      <c r="P94" s="151"/>
      <c r="Q94"/>
      <c r="R94" s="8"/>
      <c r="S94" s="8"/>
      <c r="T94" s="69" t="s">
        <v>453</v>
      </c>
      <c r="U94" s="83" t="s">
        <v>453</v>
      </c>
      <c r="V94" t="s">
        <v>453</v>
      </c>
      <c r="W94" t="s">
        <v>453</v>
      </c>
      <c r="X94" s="6"/>
      <c r="Y94" t="s">
        <v>162</v>
      </c>
      <c r="Z94"/>
      <c r="AA94"/>
      <c r="AB94" t="str">
        <f t="shared" si="5"/>
        <v>TRUE</v>
      </c>
      <c r="AC94"/>
      <c r="AD94" t="s">
        <v>167</v>
      </c>
      <c r="AE94"/>
      <c r="AG94" t="str">
        <f t="shared" si="4"/>
        <v>TRUE</v>
      </c>
    </row>
    <row r="95" spans="2:33" ht="14.25" customHeight="1" x14ac:dyDescent="0.25">
      <c r="B95" s="158" t="s">
        <v>170</v>
      </c>
      <c r="C95" s="128" t="s">
        <v>851</v>
      </c>
      <c r="D95" s="205" t="s">
        <v>815</v>
      </c>
      <c r="E95" s="146"/>
      <c r="F95" s="151"/>
      <c r="G95"/>
      <c r="H95" s="8"/>
      <c r="I95" s="8"/>
      <c r="J95" s="8"/>
      <c r="K95" s="244" t="s">
        <v>167</v>
      </c>
      <c r="L95" s="245"/>
      <c r="M95" s="128" t="s">
        <v>851</v>
      </c>
      <c r="N95" s="205" t="s">
        <v>815</v>
      </c>
      <c r="O95" s="146"/>
      <c r="P95" s="151"/>
      <c r="Q95"/>
      <c r="R95" s="8"/>
      <c r="S95" s="8"/>
      <c r="T95" s="69" t="s">
        <v>453</v>
      </c>
      <c r="U95" s="83" t="s">
        <v>453</v>
      </c>
      <c r="V95" t="s">
        <v>453</v>
      </c>
      <c r="W95" t="s">
        <v>453</v>
      </c>
      <c r="X95" s="6"/>
      <c r="Y95" t="s">
        <v>166</v>
      </c>
      <c r="Z95"/>
      <c r="AA95"/>
      <c r="AB95" t="str">
        <f t="shared" si="5"/>
        <v>TRUE</v>
      </c>
      <c r="AC95"/>
      <c r="AD95" t="s">
        <v>171</v>
      </c>
      <c r="AE95"/>
      <c r="AG95" t="e">
        <f>IF(AD95=#REF!,"TRUE","FALSE")</f>
        <v>#REF!</v>
      </c>
    </row>
    <row r="96" spans="2:33" ht="14.25" customHeight="1" x14ac:dyDescent="0.25">
      <c r="B96" s="158" t="s">
        <v>174</v>
      </c>
      <c r="C96" s="128" t="s">
        <v>851</v>
      </c>
      <c r="D96" s="205" t="s">
        <v>815</v>
      </c>
      <c r="E96" s="146"/>
      <c r="F96" s="151"/>
      <c r="G96"/>
      <c r="H96" s="8"/>
      <c r="I96" s="8"/>
      <c r="J96" s="8"/>
      <c r="K96" s="244" t="s">
        <v>175</v>
      </c>
      <c r="L96" s="245"/>
      <c r="M96" s="128" t="s">
        <v>851</v>
      </c>
      <c r="N96" s="205" t="s">
        <v>815</v>
      </c>
      <c r="O96" s="146"/>
      <c r="P96" s="151"/>
      <c r="Q96"/>
      <c r="R96" s="8"/>
      <c r="S96" s="8"/>
      <c r="T96" s="69" t="s">
        <v>453</v>
      </c>
      <c r="U96" s="83" t="s">
        <v>453</v>
      </c>
      <c r="V96" t="s">
        <v>453</v>
      </c>
      <c r="W96" t="s">
        <v>453</v>
      </c>
      <c r="X96" s="6"/>
      <c r="Y96" t="s">
        <v>170</v>
      </c>
      <c r="Z96"/>
      <c r="AA96"/>
      <c r="AB96" t="str">
        <f t="shared" si="5"/>
        <v>TRUE</v>
      </c>
      <c r="AC96"/>
      <c r="AD96" t="s">
        <v>175</v>
      </c>
      <c r="AE96"/>
      <c r="AG96" t="str">
        <f>IF(AD96=K96,"TRUE","FALSE")</f>
        <v>TRUE</v>
      </c>
    </row>
    <row r="97" spans="2:33" ht="14.25" customHeight="1" x14ac:dyDescent="0.25">
      <c r="B97" s="158" t="s">
        <v>823</v>
      </c>
      <c r="C97" s="128" t="s">
        <v>851</v>
      </c>
      <c r="D97" s="205" t="s">
        <v>815</v>
      </c>
      <c r="E97" s="146"/>
      <c r="F97" s="151"/>
      <c r="G97"/>
      <c r="H97" s="8"/>
      <c r="I97" s="8"/>
      <c r="J97" s="8"/>
      <c r="K97" s="244" t="s">
        <v>179</v>
      </c>
      <c r="L97" s="245"/>
      <c r="M97" s="128" t="s">
        <v>851</v>
      </c>
      <c r="N97" s="205" t="s">
        <v>815</v>
      </c>
      <c r="O97" s="146"/>
      <c r="P97" s="151"/>
      <c r="Q97"/>
      <c r="R97" s="8"/>
      <c r="S97" s="8"/>
      <c r="T97" s="69" t="s">
        <v>453</v>
      </c>
      <c r="U97" s="83" t="s">
        <v>453</v>
      </c>
      <c r="V97" t="s">
        <v>453</v>
      </c>
      <c r="W97" t="s">
        <v>453</v>
      </c>
      <c r="X97" s="6"/>
      <c r="Y97" t="s">
        <v>174</v>
      </c>
      <c r="Z97"/>
      <c r="AA97"/>
      <c r="AB97" t="str">
        <f t="shared" si="5"/>
        <v>TRUE</v>
      </c>
      <c r="AC97"/>
      <c r="AD97" t="s">
        <v>179</v>
      </c>
      <c r="AE97"/>
      <c r="AG97" t="str">
        <f>IF(AD97=K97,"TRUE","FALSE")</f>
        <v>TRUE</v>
      </c>
    </row>
    <row r="98" spans="2:33" ht="14.25" customHeight="1" thickBot="1" x14ac:dyDescent="0.3">
      <c r="B98" s="159" t="s">
        <v>824</v>
      </c>
      <c r="C98" s="128" t="s">
        <v>851</v>
      </c>
      <c r="D98" s="205" t="s">
        <v>815</v>
      </c>
      <c r="E98" s="153"/>
      <c r="F98" s="154"/>
      <c r="G98"/>
      <c r="H98" s="8"/>
      <c r="I98" s="8"/>
      <c r="J98" s="8"/>
      <c r="K98" s="244" t="s">
        <v>830</v>
      </c>
      <c r="L98" s="245"/>
      <c r="M98" s="128" t="s">
        <v>851</v>
      </c>
      <c r="N98" s="205" t="s">
        <v>815</v>
      </c>
      <c r="O98" s="146"/>
      <c r="P98" s="151"/>
      <c r="Q98"/>
      <c r="R98" s="8"/>
      <c r="S98" s="8"/>
      <c r="T98" s="69" t="s">
        <v>453</v>
      </c>
      <c r="U98" s="83" t="s">
        <v>453</v>
      </c>
      <c r="V98" t="s">
        <v>453</v>
      </c>
      <c r="W98" t="s">
        <v>453</v>
      </c>
      <c r="X98" s="6"/>
      <c r="Y98" t="s">
        <v>178</v>
      </c>
      <c r="Z98"/>
      <c r="AA98"/>
      <c r="AB98" t="str">
        <f t="shared" si="5"/>
        <v>FALSE</v>
      </c>
      <c r="AC98"/>
      <c r="AD98" t="s">
        <v>183</v>
      </c>
      <c r="AE98"/>
      <c r="AG98" t="str">
        <f>IF(AD98=K98,"TRUE","FALSE")</f>
        <v>FALSE</v>
      </c>
    </row>
    <row r="99" spans="2:33" ht="14.25" customHeight="1" thickBot="1" x14ac:dyDescent="0.3">
      <c r="C99"/>
      <c r="D99"/>
      <c r="E99"/>
      <c r="F99"/>
      <c r="G99"/>
      <c r="H99" s="8"/>
      <c r="I99" s="8"/>
      <c r="J99" s="8"/>
      <c r="K99" s="249" t="s">
        <v>188</v>
      </c>
      <c r="L99" s="250"/>
      <c r="M99" s="114" t="s">
        <v>21</v>
      </c>
      <c r="N99" s="205" t="s">
        <v>815</v>
      </c>
      <c r="O99" s="153"/>
      <c r="P99" s="154"/>
      <c r="Q99"/>
      <c r="R99" s="8"/>
      <c r="S99" s="8"/>
      <c r="T99" s="73" t="s">
        <v>453</v>
      </c>
      <c r="U99" s="84" t="s">
        <v>453</v>
      </c>
      <c r="V99" t="s">
        <v>453</v>
      </c>
      <c r="W99" t="str">
        <f>INDEX('Country Code LU'!$B$2:$B$250,MATCH('Priority Manifest'!$K99,'Country Code LU'!$A$2:$A$250,0))</f>
        <v>CY</v>
      </c>
      <c r="X99" s="6"/>
      <c r="Y99" t="s">
        <v>182</v>
      </c>
      <c r="Z99"/>
      <c r="AA99"/>
      <c r="AB99" t="str">
        <f t="shared" si="5"/>
        <v>FALSE</v>
      </c>
      <c r="AC99"/>
      <c r="AD99" t="s">
        <v>188</v>
      </c>
      <c r="AE99"/>
      <c r="AG99" t="str">
        <f>IF(AD99=K99,"TRUE","FALSE")</f>
        <v>TRUE</v>
      </c>
    </row>
    <row r="100" spans="2:33" ht="16.5" customHeight="1" x14ac:dyDescent="0.25">
      <c r="B100" s="7"/>
      <c r="C100" s="8"/>
      <c r="D100" s="8"/>
      <c r="E100" s="8"/>
      <c r="F100" s="8"/>
      <c r="G100"/>
      <c r="H100" s="8"/>
      <c r="I100" s="8"/>
      <c r="J100" s="8"/>
      <c r="K100" s="8"/>
      <c r="L100" s="8"/>
      <c r="M100" s="8"/>
      <c r="N100" s="8"/>
      <c r="O100" s="8"/>
      <c r="P100" s="8"/>
      <c r="Q100"/>
      <c r="R100" s="8"/>
      <c r="S100" s="8"/>
      <c r="T100" s="74"/>
      <c r="U100" s="74"/>
      <c r="V100"/>
      <c r="W100"/>
      <c r="X100" s="6"/>
      <c r="Y100"/>
      <c r="Z100"/>
      <c r="AA100"/>
      <c r="AB100"/>
      <c r="AC100"/>
      <c r="AD100"/>
      <c r="AE100"/>
    </row>
    <row r="101" spans="2:33" ht="4.5" customHeight="1" x14ac:dyDescent="0.25">
      <c r="B101" s="7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/>
      <c r="R101" s="8"/>
      <c r="S101" s="8"/>
      <c r="T101" s="8"/>
      <c r="U101" s="8"/>
      <c r="V101"/>
      <c r="W101"/>
      <c r="X101" s="8"/>
      <c r="Y101"/>
      <c r="Z101"/>
      <c r="AA101"/>
      <c r="AB101"/>
      <c r="AC101"/>
      <c r="AD101"/>
      <c r="AE101"/>
    </row>
    <row r="102" spans="2:33" ht="27.75" x14ac:dyDescent="0.25">
      <c r="B102" s="109" t="s">
        <v>819</v>
      </c>
      <c r="C102" s="10"/>
      <c r="D102" s="10"/>
      <c r="E102" s="10"/>
      <c r="F102" s="9"/>
      <c r="G102" s="8"/>
      <c r="H102" s="8"/>
      <c r="I102" s="8"/>
      <c r="J102" s="8"/>
      <c r="K102" s="8"/>
      <c r="L102" s="8"/>
      <c r="M102"/>
      <c r="N102"/>
      <c r="O102"/>
      <c r="P102"/>
      <c r="Q102"/>
      <c r="R102" s="8"/>
      <c r="S102" s="8"/>
      <c r="T102" s="8"/>
      <c r="U102" s="8"/>
      <c r="V102"/>
      <c r="W102"/>
      <c r="X102" s="8"/>
      <c r="Y102"/>
      <c r="Z102"/>
      <c r="AA102"/>
      <c r="AB102"/>
      <c r="AC102"/>
      <c r="AD102"/>
      <c r="AE102"/>
    </row>
    <row r="103" spans="2:33" s="9" customFormat="1" ht="27.75" customHeight="1" x14ac:dyDescent="0.25">
      <c r="B103" s="12" t="str">
        <f>B4</f>
        <v>Valid from 1st January 2025</v>
      </c>
      <c r="C103" s="13"/>
      <c r="D103" s="13"/>
      <c r="E103" s="13"/>
      <c r="F103" s="8"/>
      <c r="G103" s="8"/>
      <c r="H103" s="8"/>
      <c r="I103" s="8"/>
      <c r="J103" s="8"/>
      <c r="K103" s="8"/>
      <c r="L103" s="8"/>
      <c r="M103"/>
      <c r="N103"/>
      <c r="O103"/>
      <c r="P103"/>
      <c r="Q103"/>
      <c r="R103" s="11"/>
      <c r="U103" s="11"/>
      <c r="V103"/>
      <c r="W103"/>
      <c r="X103" s="11"/>
      <c r="Y103"/>
      <c r="Z103"/>
      <c r="AA103"/>
      <c r="AB103"/>
      <c r="AC103"/>
      <c r="AD103"/>
      <c r="AE103"/>
    </row>
    <row r="104" spans="2:33" ht="15.75" thickBot="1" x14ac:dyDescent="0.3">
      <c r="B104" s="14"/>
      <c r="C104" s="13"/>
      <c r="D104" s="13"/>
      <c r="E104" s="13"/>
      <c r="F104" s="8"/>
      <c r="G104" s="8"/>
      <c r="H104" s="8"/>
      <c r="I104" s="8"/>
      <c r="J104" s="8"/>
      <c r="K104" s="8"/>
      <c r="L104" s="8"/>
      <c r="M104"/>
      <c r="N104"/>
      <c r="O104"/>
      <c r="P104"/>
      <c r="Q104"/>
      <c r="R104" s="8"/>
      <c r="S104" s="8"/>
      <c r="T104" s="8"/>
      <c r="U104" s="8"/>
      <c r="V104"/>
      <c r="W104"/>
      <c r="X104" s="8"/>
      <c r="Y104"/>
      <c r="Z104"/>
      <c r="AA104"/>
      <c r="AB104"/>
      <c r="AC104"/>
      <c r="AD104"/>
      <c r="AE104"/>
    </row>
    <row r="105" spans="2:33" ht="15.75" thickBot="1" x14ac:dyDescent="0.3">
      <c r="B105" s="251" t="s">
        <v>0</v>
      </c>
      <c r="C105" s="252"/>
      <c r="D105" s="253" t="str">
        <f>IF($D$6=0,"",$D$6)</f>
        <v>Citipost Ltd</v>
      </c>
      <c r="E105" s="253"/>
      <c r="F105" s="253"/>
      <c r="G105" s="252" t="s">
        <v>3</v>
      </c>
      <c r="H105" s="252"/>
      <c r="I105" s="143" t="str">
        <f>IF($D$7=0,"",$D$7)</f>
        <v/>
      </c>
      <c r="J105" s="143"/>
      <c r="K105" s="143"/>
      <c r="L105" s="252" t="s">
        <v>2</v>
      </c>
      <c r="M105" s="252"/>
      <c r="N105" s="144" t="str">
        <f>IF($N$6=0,"",$N$6)</f>
        <v/>
      </c>
      <c r="O105" s="143"/>
      <c r="P105" s="143"/>
      <c r="Q105" s="145"/>
      <c r="R105" s="8"/>
      <c r="S105" s="8"/>
      <c r="T105" s="8"/>
      <c r="U105" s="8"/>
      <c r="V105"/>
      <c r="W105"/>
      <c r="X105" s="8"/>
      <c r="Y105"/>
      <c r="Z105"/>
      <c r="AA105"/>
      <c r="AB105"/>
      <c r="AC105"/>
      <c r="AD105"/>
      <c r="AE105"/>
    </row>
    <row r="106" spans="2:33" ht="14.25" customHeight="1" x14ac:dyDescent="0.25"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6"/>
      <c r="M106" s="87"/>
      <c r="N106" s="87"/>
      <c r="O106" s="87"/>
      <c r="P106" s="86"/>
      <c r="Q106" s="86"/>
      <c r="R106" s="8"/>
      <c r="S106" s="8"/>
      <c r="T106" s="8"/>
      <c r="U106" s="8"/>
      <c r="V106"/>
      <c r="W106"/>
      <c r="X106" s="8"/>
      <c r="Y106"/>
      <c r="Z106"/>
      <c r="AA106"/>
      <c r="AB106"/>
      <c r="AC106"/>
      <c r="AD106"/>
      <c r="AE106"/>
    </row>
    <row r="107" spans="2:33" ht="15.75" thickBot="1" x14ac:dyDescent="0.3">
      <c r="B107" s="58"/>
      <c r="C107" s="58"/>
      <c r="D107" s="58"/>
      <c r="E107" s="58"/>
      <c r="F107" s="58"/>
      <c r="G107" s="78">
        <v>1</v>
      </c>
      <c r="H107" s="78"/>
      <c r="I107" s="78"/>
      <c r="J107" s="78"/>
      <c r="K107" s="78"/>
      <c r="L107" s="62"/>
      <c r="M107" s="62"/>
      <c r="N107" s="62"/>
      <c r="O107" s="62"/>
      <c r="P107" s="62"/>
      <c r="Q107" s="62">
        <v>2</v>
      </c>
      <c r="R107" s="87"/>
      <c r="S107" s="86"/>
      <c r="T107" s="86"/>
      <c r="U107" s="87"/>
      <c r="V107"/>
      <c r="W107"/>
      <c r="X107" s="87"/>
      <c r="Y107"/>
      <c r="Z107"/>
      <c r="AA107"/>
      <c r="AB107"/>
      <c r="AC107"/>
      <c r="AD107"/>
      <c r="AE107"/>
    </row>
    <row r="108" spans="2:33" s="19" customFormat="1" ht="18.75" thickBot="1" x14ac:dyDescent="0.3">
      <c r="B108" s="25"/>
      <c r="C108" s="246" t="s">
        <v>9</v>
      </c>
      <c r="D108" s="247"/>
      <c r="E108" s="247"/>
      <c r="F108" s="248"/>
      <c r="G108"/>
      <c r="H108"/>
      <c r="I108"/>
      <c r="J108"/>
      <c r="K108"/>
      <c r="L108"/>
      <c r="M108" s="246" t="s">
        <v>9</v>
      </c>
      <c r="N108" s="247"/>
      <c r="O108" s="247"/>
      <c r="P108" s="248"/>
      <c r="Q108"/>
      <c r="R108" s="62"/>
      <c r="S108" s="63"/>
      <c r="T108" s="63"/>
      <c r="U108" s="62"/>
      <c r="V108"/>
      <c r="W108"/>
      <c r="X108" s="62"/>
      <c r="Y108"/>
      <c r="Z108"/>
      <c r="AA108"/>
      <c r="AB108"/>
      <c r="AC108"/>
      <c r="AD108"/>
      <c r="AE108"/>
    </row>
    <row r="109" spans="2:33" ht="15" customHeight="1" thickBot="1" x14ac:dyDescent="0.3">
      <c r="C109" s="219" t="s">
        <v>14</v>
      </c>
      <c r="D109" s="220" t="s">
        <v>15</v>
      </c>
      <c r="E109" s="220" t="s">
        <v>16</v>
      </c>
      <c r="F109" s="221" t="s">
        <v>17</v>
      </c>
      <c r="G109"/>
      <c r="H109"/>
      <c r="I109"/>
      <c r="J109"/>
      <c r="K109"/>
      <c r="L109"/>
      <c r="M109" s="219" t="s">
        <v>14</v>
      </c>
      <c r="N109" s="220" t="s">
        <v>15</v>
      </c>
      <c r="O109" s="220" t="s">
        <v>16</v>
      </c>
      <c r="P109" s="221" t="s">
        <v>17</v>
      </c>
      <c r="Q109"/>
      <c r="R109" s="26"/>
      <c r="S109" s="26"/>
      <c r="T109" s="26"/>
      <c r="U109" s="64"/>
      <c r="V109"/>
      <c r="W109"/>
      <c r="X109" s="64"/>
      <c r="Y109"/>
      <c r="Z109"/>
      <c r="AA109"/>
      <c r="AB109"/>
      <c r="AC109"/>
      <c r="AD109"/>
      <c r="AE109"/>
    </row>
    <row r="110" spans="2:33" ht="15" customHeight="1" x14ac:dyDescent="0.25">
      <c r="B110" s="157" t="s">
        <v>190</v>
      </c>
      <c r="C110" s="128" t="s">
        <v>851</v>
      </c>
      <c r="D110" s="205" t="s">
        <v>815</v>
      </c>
      <c r="E110" s="149"/>
      <c r="F110" s="150"/>
      <c r="G110"/>
      <c r="H110"/>
      <c r="I110"/>
      <c r="J110"/>
      <c r="K110" s="254" t="s">
        <v>195</v>
      </c>
      <c r="L110" s="255"/>
      <c r="M110" s="128" t="s">
        <v>851</v>
      </c>
      <c r="N110" s="205" t="s">
        <v>815</v>
      </c>
      <c r="O110" s="149"/>
      <c r="P110" s="150"/>
      <c r="Q110"/>
      <c r="R110" s="29"/>
      <c r="S110" s="29"/>
      <c r="T110" s="29"/>
      <c r="U110" s="64"/>
      <c r="V110"/>
      <c r="W110"/>
      <c r="X110" s="64"/>
      <c r="Y110"/>
      <c r="Z110"/>
      <c r="AA110"/>
      <c r="AB110"/>
      <c r="AC110"/>
      <c r="AD110"/>
      <c r="AE110"/>
    </row>
    <row r="111" spans="2:33" ht="15" x14ac:dyDescent="0.25">
      <c r="B111" s="232" t="s">
        <v>829</v>
      </c>
      <c r="C111" s="128" t="s">
        <v>851</v>
      </c>
      <c r="D111" s="205" t="s">
        <v>815</v>
      </c>
      <c r="E111" s="155"/>
      <c r="F111" s="156"/>
      <c r="G111"/>
      <c r="H111"/>
      <c r="I111"/>
      <c r="J111"/>
      <c r="K111" s="244" t="s">
        <v>834</v>
      </c>
      <c r="L111" s="245"/>
      <c r="M111" s="128" t="s">
        <v>851</v>
      </c>
      <c r="N111" s="205" t="s">
        <v>815</v>
      </c>
      <c r="O111" s="146"/>
      <c r="P111" s="151"/>
      <c r="Q111"/>
      <c r="R111" s="8"/>
      <c r="S111" s="8"/>
      <c r="T111" s="68" t="str">
        <f>IF(D110="#N/A","ZZZZ",D110)</f>
        <v>La Poste</v>
      </c>
      <c r="U111" s="82" t="s">
        <v>453</v>
      </c>
      <c r="V111" t="s">
        <v>453</v>
      </c>
      <c r="W111" t="s">
        <v>453</v>
      </c>
      <c r="X111" s="8"/>
      <c r="Y111" t="s">
        <v>190</v>
      </c>
      <c r="Z111"/>
      <c r="AA111"/>
      <c r="AB111"/>
      <c r="AC111"/>
      <c r="AD111" t="s">
        <v>195</v>
      </c>
      <c r="AE111"/>
      <c r="AF111" s="47"/>
    </row>
    <row r="112" spans="2:33" ht="15" x14ac:dyDescent="0.25">
      <c r="B112" s="158" t="s">
        <v>194</v>
      </c>
      <c r="C112" s="128" t="s">
        <v>851</v>
      </c>
      <c r="D112" s="205" t="s">
        <v>815</v>
      </c>
      <c r="E112" s="146"/>
      <c r="F112" s="151"/>
      <c r="G112"/>
      <c r="H112"/>
      <c r="I112"/>
      <c r="J112"/>
      <c r="K112" s="244" t="s">
        <v>203</v>
      </c>
      <c r="L112" s="245"/>
      <c r="M112" s="128" t="s">
        <v>851</v>
      </c>
      <c r="N112" s="205" t="s">
        <v>815</v>
      </c>
      <c r="O112" s="146"/>
      <c r="P112" s="151"/>
      <c r="Q112"/>
      <c r="R112" s="8"/>
      <c r="S112" s="8"/>
      <c r="T112" s="69" t="s">
        <v>453</v>
      </c>
      <c r="U112" s="83" t="s">
        <v>453</v>
      </c>
      <c r="V112" t="s">
        <v>453</v>
      </c>
      <c r="W112" t="s">
        <v>453</v>
      </c>
      <c r="X112" s="8"/>
      <c r="Y112" t="s">
        <v>194</v>
      </c>
      <c r="Z112"/>
      <c r="AA112"/>
      <c r="AB112"/>
      <c r="AC112"/>
      <c r="AD112" t="s">
        <v>199</v>
      </c>
      <c r="AE112"/>
      <c r="AF112" s="47"/>
    </row>
    <row r="113" spans="2:33" ht="15" x14ac:dyDescent="0.25">
      <c r="B113" s="158" t="s">
        <v>198</v>
      </c>
      <c r="C113" s="128" t="s">
        <v>851</v>
      </c>
      <c r="D113" s="205" t="s">
        <v>815</v>
      </c>
      <c r="E113" s="146"/>
      <c r="F113" s="151"/>
      <c r="G113"/>
      <c r="H113"/>
      <c r="I113"/>
      <c r="J113"/>
      <c r="K113" s="244" t="s">
        <v>207</v>
      </c>
      <c r="L113" s="245"/>
      <c r="M113" s="128" t="s">
        <v>851</v>
      </c>
      <c r="N113" s="205" t="s">
        <v>815</v>
      </c>
      <c r="O113" s="146"/>
      <c r="P113" s="151"/>
      <c r="Q113"/>
      <c r="R113" s="8"/>
      <c r="S113" s="8"/>
      <c r="T113" s="69" t="s">
        <v>453</v>
      </c>
      <c r="U113" s="83" t="s">
        <v>453</v>
      </c>
      <c r="V113" t="s">
        <v>453</v>
      </c>
      <c r="W113" t="str">
        <f>INDEX('Country Code LU'!$B$2:$B$250,MATCH('Priority Manifest'!$K112,'Country Code LU'!$A$2:$A$250,0))</f>
        <v>LB</v>
      </c>
      <c r="X113" s="8"/>
      <c r="Y113" t="s">
        <v>198</v>
      </c>
      <c r="Z113"/>
      <c r="AA113"/>
      <c r="AB113"/>
      <c r="AC113"/>
      <c r="AD113" t="s">
        <v>203</v>
      </c>
      <c r="AE113"/>
      <c r="AF113" s="70"/>
    </row>
    <row r="114" spans="2:33" s="72" customFormat="1" ht="13.5" customHeight="1" x14ac:dyDescent="0.25">
      <c r="B114" s="158" t="s">
        <v>206</v>
      </c>
      <c r="C114" s="128" t="s">
        <v>851</v>
      </c>
      <c r="D114" s="205" t="s">
        <v>815</v>
      </c>
      <c r="E114" s="146"/>
      <c r="F114" s="151"/>
      <c r="G114"/>
      <c r="H114"/>
      <c r="I114"/>
      <c r="J114"/>
      <c r="K114" s="244" t="s">
        <v>211</v>
      </c>
      <c r="L114" s="245"/>
      <c r="M114" s="128" t="s">
        <v>851</v>
      </c>
      <c r="N114" s="205" t="s">
        <v>815</v>
      </c>
      <c r="O114" s="146"/>
      <c r="P114" s="151"/>
      <c r="Q114"/>
      <c r="R114" s="8"/>
      <c r="S114" s="8"/>
      <c r="T114" s="69" t="s">
        <v>453</v>
      </c>
      <c r="U114" s="83" t="s">
        <v>453</v>
      </c>
      <c r="V114" t="s">
        <v>453</v>
      </c>
      <c r="W114" t="s">
        <v>453</v>
      </c>
      <c r="X114" s="8"/>
      <c r="Y114" t="s">
        <v>202</v>
      </c>
      <c r="Z114"/>
      <c r="AA114"/>
      <c r="AB114"/>
      <c r="AC114"/>
      <c r="AD114" t="s">
        <v>207</v>
      </c>
      <c r="AE114"/>
      <c r="AF114" s="47"/>
      <c r="AG114" s="71"/>
    </row>
    <row r="115" spans="2:33" s="72" customFormat="1" ht="15" customHeight="1" x14ac:dyDescent="0.25">
      <c r="B115" s="158" t="s">
        <v>210</v>
      </c>
      <c r="C115" s="128" t="s">
        <v>851</v>
      </c>
      <c r="D115" s="205" t="s">
        <v>815</v>
      </c>
      <c r="E115" s="146"/>
      <c r="F115" s="151"/>
      <c r="G115"/>
      <c r="H115"/>
      <c r="I115"/>
      <c r="J115"/>
      <c r="K115" s="244" t="s">
        <v>812</v>
      </c>
      <c r="L115" s="245"/>
      <c r="M115" s="128" t="s">
        <v>851</v>
      </c>
      <c r="N115" s="205" t="s">
        <v>815</v>
      </c>
      <c r="O115" s="146"/>
      <c r="P115" s="151"/>
      <c r="Q115"/>
      <c r="R115" s="8"/>
      <c r="S115" s="8"/>
      <c r="T115" s="69" t="s">
        <v>453</v>
      </c>
      <c r="U115" s="83" t="s">
        <v>453</v>
      </c>
      <c r="V115" t="s">
        <v>453</v>
      </c>
      <c r="W115" t="s">
        <v>453</v>
      </c>
      <c r="X115" s="8"/>
      <c r="Y115" t="s">
        <v>206</v>
      </c>
      <c r="Z115"/>
      <c r="AA115"/>
      <c r="AB115"/>
      <c r="AC115"/>
      <c r="AD115" t="s">
        <v>211</v>
      </c>
      <c r="AE115"/>
    </row>
    <row r="116" spans="2:33" ht="14.25" customHeight="1" x14ac:dyDescent="0.25">
      <c r="B116" s="158" t="s">
        <v>214</v>
      </c>
      <c r="C116" s="128" t="s">
        <v>851</v>
      </c>
      <c r="D116" s="205" t="s">
        <v>815</v>
      </c>
      <c r="E116" s="146"/>
      <c r="F116" s="151"/>
      <c r="G116"/>
      <c r="H116"/>
      <c r="I116"/>
      <c r="J116"/>
      <c r="K116" s="244" t="s">
        <v>478</v>
      </c>
      <c r="L116" s="245"/>
      <c r="M116" s="128" t="s">
        <v>851</v>
      </c>
      <c r="N116" s="206" t="s">
        <v>816</v>
      </c>
      <c r="O116" s="146"/>
      <c r="P116" s="151"/>
      <c r="Q116"/>
      <c r="R116" s="8"/>
      <c r="S116" s="8"/>
      <c r="T116" s="69" t="s">
        <v>453</v>
      </c>
      <c r="U116" s="83" t="s">
        <v>453</v>
      </c>
      <c r="V116" t="s">
        <v>453</v>
      </c>
      <c r="W116" t="s">
        <v>453</v>
      </c>
      <c r="X116" s="8"/>
      <c r="Y116" t="s">
        <v>210</v>
      </c>
      <c r="Z116"/>
      <c r="AA116"/>
      <c r="AB116"/>
      <c r="AC116"/>
      <c r="AD116" t="s">
        <v>812</v>
      </c>
      <c r="AE116"/>
    </row>
    <row r="117" spans="2:33" ht="14.25" customHeight="1" x14ac:dyDescent="0.25">
      <c r="B117" s="158" t="s">
        <v>218</v>
      </c>
      <c r="C117" s="128" t="s">
        <v>851</v>
      </c>
      <c r="D117" s="205" t="s">
        <v>815</v>
      </c>
      <c r="E117" s="146"/>
      <c r="F117" s="151"/>
      <c r="G117"/>
      <c r="H117"/>
      <c r="I117"/>
      <c r="J117"/>
      <c r="K117" s="244" t="s">
        <v>219</v>
      </c>
      <c r="L117" s="245"/>
      <c r="M117" s="128" t="s">
        <v>851</v>
      </c>
      <c r="N117" s="205" t="s">
        <v>815</v>
      </c>
      <c r="O117" s="146"/>
      <c r="P117" s="151"/>
      <c r="Q117"/>
      <c r="R117" s="8"/>
      <c r="S117" s="8"/>
      <c r="T117" s="69" t="s">
        <v>453</v>
      </c>
      <c r="U117" s="83" t="s">
        <v>453</v>
      </c>
      <c r="V117" t="s">
        <v>453</v>
      </c>
      <c r="W117" t="s">
        <v>453</v>
      </c>
      <c r="X117" s="8"/>
      <c r="Y117" t="s">
        <v>214</v>
      </c>
      <c r="Z117"/>
      <c r="AA117"/>
      <c r="AB117"/>
      <c r="AC117"/>
      <c r="AD117" t="s">
        <v>478</v>
      </c>
      <c r="AE117"/>
    </row>
    <row r="118" spans="2:33" ht="14.25" customHeight="1" x14ac:dyDescent="0.25">
      <c r="B118" s="158" t="s">
        <v>222</v>
      </c>
      <c r="C118" s="128" t="s">
        <v>851</v>
      </c>
      <c r="D118" s="205" t="s">
        <v>815</v>
      </c>
      <c r="E118" s="146"/>
      <c r="F118" s="151"/>
      <c r="G118"/>
      <c r="H118"/>
      <c r="I118"/>
      <c r="J118"/>
      <c r="K118" s="244" t="s">
        <v>226</v>
      </c>
      <c r="L118" s="245"/>
      <c r="M118" s="128" t="s">
        <v>851</v>
      </c>
      <c r="N118" s="205" t="s">
        <v>815</v>
      </c>
      <c r="O118" s="146"/>
      <c r="P118" s="151"/>
      <c r="Q118"/>
      <c r="R118" s="8"/>
      <c r="S118" s="8"/>
      <c r="T118" s="69" t="s">
        <v>453</v>
      </c>
      <c r="U118" s="83" t="s">
        <v>453</v>
      </c>
      <c r="V118" t="s">
        <v>453</v>
      </c>
      <c r="W118" t="s">
        <v>453</v>
      </c>
      <c r="X118" s="8"/>
      <c r="Y118" t="s">
        <v>218</v>
      </c>
      <c r="Z118"/>
      <c r="AA118"/>
      <c r="AB118"/>
      <c r="AC118"/>
      <c r="AD118" t="s">
        <v>219</v>
      </c>
      <c r="AE118"/>
    </row>
    <row r="119" spans="2:33" ht="14.25" customHeight="1" x14ac:dyDescent="0.25">
      <c r="B119" s="158" t="s">
        <v>225</v>
      </c>
      <c r="C119" s="128" t="s">
        <v>851</v>
      </c>
      <c r="D119" s="205" t="s">
        <v>815</v>
      </c>
      <c r="E119" s="146"/>
      <c r="F119" s="151"/>
      <c r="G119"/>
      <c r="H119"/>
      <c r="I119"/>
      <c r="J119"/>
      <c r="K119" s="244" t="s">
        <v>230</v>
      </c>
      <c r="L119" s="245"/>
      <c r="M119" s="128" t="s">
        <v>851</v>
      </c>
      <c r="N119" s="205" t="s">
        <v>815</v>
      </c>
      <c r="O119" s="146"/>
      <c r="P119" s="151"/>
      <c r="Q119"/>
      <c r="R119" s="8"/>
      <c r="S119" s="8"/>
      <c r="T119" s="69" t="s">
        <v>453</v>
      </c>
      <c r="U119" s="83" t="s">
        <v>453</v>
      </c>
      <c r="V119" t="s">
        <v>453</v>
      </c>
      <c r="W119" t="s">
        <v>453</v>
      </c>
      <c r="X119" s="8"/>
      <c r="Y119" t="s">
        <v>222</v>
      </c>
      <c r="Z119"/>
      <c r="AA119"/>
      <c r="AB119"/>
      <c r="AC119"/>
      <c r="AD119" t="s">
        <v>813</v>
      </c>
      <c r="AE119"/>
    </row>
    <row r="120" spans="2:33" ht="14.25" customHeight="1" x14ac:dyDescent="0.25">
      <c r="B120" s="158" t="s">
        <v>845</v>
      </c>
      <c r="C120" s="128" t="s">
        <v>851</v>
      </c>
      <c r="D120" s="205" t="s">
        <v>815</v>
      </c>
      <c r="E120" s="146"/>
      <c r="F120" s="151"/>
      <c r="G120"/>
      <c r="H120"/>
      <c r="I120"/>
      <c r="J120"/>
      <c r="K120" s="244" t="s">
        <v>234</v>
      </c>
      <c r="L120" s="245"/>
      <c r="M120" s="110" t="s">
        <v>21</v>
      </c>
      <c r="N120" s="205" t="s">
        <v>815</v>
      </c>
      <c r="O120" s="146"/>
      <c r="P120" s="151"/>
      <c r="Q120"/>
      <c r="R120" s="8"/>
      <c r="S120" s="8"/>
      <c r="T120" s="69" t="s">
        <v>453</v>
      </c>
      <c r="U120" s="83" t="s">
        <v>453</v>
      </c>
      <c r="V120" t="s">
        <v>453</v>
      </c>
      <c r="W120" t="s">
        <v>453</v>
      </c>
      <c r="X120" s="8"/>
      <c r="Y120" t="s">
        <v>225</v>
      </c>
      <c r="Z120"/>
      <c r="AA120"/>
      <c r="AB120"/>
      <c r="AC120"/>
      <c r="AD120" t="s">
        <v>226</v>
      </c>
      <c r="AE120"/>
    </row>
    <row r="121" spans="2:33" ht="14.25" customHeight="1" x14ac:dyDescent="0.25">
      <c r="B121" s="158" t="s">
        <v>831</v>
      </c>
      <c r="C121" s="128" t="s">
        <v>21</v>
      </c>
      <c r="D121" s="205" t="s">
        <v>815</v>
      </c>
      <c r="E121" s="146"/>
      <c r="F121" s="151"/>
      <c r="G121"/>
      <c r="H121"/>
      <c r="I121"/>
      <c r="J121"/>
      <c r="K121" s="244" t="s">
        <v>238</v>
      </c>
      <c r="L121" s="245"/>
      <c r="M121" s="128" t="s">
        <v>851</v>
      </c>
      <c r="N121" s="205" t="s">
        <v>815</v>
      </c>
      <c r="O121" s="146"/>
      <c r="P121" s="151"/>
      <c r="Q121"/>
      <c r="R121" s="8"/>
      <c r="S121" s="8"/>
      <c r="T121" s="69" t="s">
        <v>453</v>
      </c>
      <c r="U121" s="83" t="s">
        <v>453</v>
      </c>
      <c r="V121" t="s">
        <v>453</v>
      </c>
      <c r="W121" t="str">
        <f>INDEX('Country Code LU'!$B$2:$B$250,MATCH('Priority Manifest'!$K119,'Country Code LU'!$A$2:$A$250,0))</f>
        <v>MW</v>
      </c>
      <c r="X121" s="8"/>
      <c r="Y121" t="s">
        <v>229</v>
      </c>
      <c r="Z121"/>
      <c r="AA121"/>
      <c r="AB121"/>
      <c r="AC121"/>
      <c r="AD121" t="s">
        <v>230</v>
      </c>
      <c r="AE121"/>
    </row>
    <row r="122" spans="2:33" ht="14.25" customHeight="1" x14ac:dyDescent="0.25">
      <c r="B122" s="158" t="s">
        <v>475</v>
      </c>
      <c r="C122" s="128" t="s">
        <v>21</v>
      </c>
      <c r="D122" s="205" t="s">
        <v>815</v>
      </c>
      <c r="E122" s="146"/>
      <c r="F122" s="151"/>
      <c r="G122"/>
      <c r="H122"/>
      <c r="I122"/>
      <c r="J122"/>
      <c r="K122" s="244" t="s">
        <v>242</v>
      </c>
      <c r="L122" s="245"/>
      <c r="M122" s="128" t="s">
        <v>851</v>
      </c>
      <c r="N122" s="205" t="s">
        <v>815</v>
      </c>
      <c r="O122" s="146"/>
      <c r="P122" s="151"/>
      <c r="Q122"/>
      <c r="R122" s="8"/>
      <c r="S122" s="8"/>
      <c r="T122" s="69" t="s">
        <v>453</v>
      </c>
      <c r="U122" s="83" t="s">
        <v>453</v>
      </c>
      <c r="V122" t="s">
        <v>453</v>
      </c>
      <c r="W122" t="str">
        <f>INDEX('Country Code LU'!$B$2:$B$250,MATCH('Priority Manifest'!$K120,'Country Code LU'!$A$2:$A$250,0))</f>
        <v>MY</v>
      </c>
      <c r="X122" s="8"/>
      <c r="Y122" t="s">
        <v>475</v>
      </c>
      <c r="Z122"/>
      <c r="AA122"/>
      <c r="AB122"/>
      <c r="AC122"/>
      <c r="AD122" t="s">
        <v>234</v>
      </c>
      <c r="AE122"/>
    </row>
    <row r="123" spans="2:33" ht="14.25" customHeight="1" x14ac:dyDescent="0.25">
      <c r="B123" s="158" t="s">
        <v>233</v>
      </c>
      <c r="C123" s="128" t="s">
        <v>851</v>
      </c>
      <c r="D123" s="205" t="s">
        <v>815</v>
      </c>
      <c r="E123" s="146"/>
      <c r="F123" s="151"/>
      <c r="G123"/>
      <c r="H123" s="8"/>
      <c r="I123" s="8"/>
      <c r="J123" s="8"/>
      <c r="K123" s="244" t="s">
        <v>254</v>
      </c>
      <c r="L123" s="245"/>
      <c r="M123" s="128" t="s">
        <v>851</v>
      </c>
      <c r="N123" s="205" t="s">
        <v>815</v>
      </c>
      <c r="O123" s="146"/>
      <c r="P123" s="151"/>
      <c r="Q123"/>
      <c r="R123" s="8"/>
      <c r="S123" s="8"/>
      <c r="T123" s="69" t="s">
        <v>453</v>
      </c>
      <c r="U123" s="83" t="s">
        <v>453</v>
      </c>
      <c r="V123" t="s">
        <v>453</v>
      </c>
      <c r="W123" t="s">
        <v>453</v>
      </c>
      <c r="X123" s="8"/>
      <c r="Y123" t="s">
        <v>233</v>
      </c>
      <c r="Z123"/>
      <c r="AA123"/>
      <c r="AB123"/>
      <c r="AC123"/>
      <c r="AD123" t="s">
        <v>238</v>
      </c>
      <c r="AE123"/>
    </row>
    <row r="124" spans="2:33" ht="14.25" customHeight="1" x14ac:dyDescent="0.25">
      <c r="B124" s="158" t="s">
        <v>237</v>
      </c>
      <c r="C124" s="128" t="s">
        <v>851</v>
      </c>
      <c r="D124" s="205" t="s">
        <v>815</v>
      </c>
      <c r="E124" s="146"/>
      <c r="F124" s="151"/>
      <c r="G124"/>
      <c r="H124" s="8"/>
      <c r="I124" s="8"/>
      <c r="J124" s="8"/>
      <c r="K124" s="244" t="s">
        <v>258</v>
      </c>
      <c r="L124" s="245"/>
      <c r="M124" s="128" t="s">
        <v>851</v>
      </c>
      <c r="N124" s="205" t="s">
        <v>815</v>
      </c>
      <c r="O124" s="146"/>
      <c r="P124" s="151"/>
      <c r="Q124"/>
      <c r="R124" s="8"/>
      <c r="S124" s="8"/>
      <c r="T124" s="69" t="s">
        <v>453</v>
      </c>
      <c r="U124" s="83" t="s">
        <v>453</v>
      </c>
      <c r="V124" t="s">
        <v>453</v>
      </c>
      <c r="W124" t="s">
        <v>453</v>
      </c>
      <c r="X124" s="6"/>
      <c r="Y124" t="s">
        <v>237</v>
      </c>
      <c r="Z124"/>
      <c r="AA124"/>
      <c r="AB124"/>
      <c r="AC124"/>
      <c r="AD124" t="s">
        <v>242</v>
      </c>
      <c r="AE124"/>
    </row>
    <row r="125" spans="2:33" ht="14.25" customHeight="1" x14ac:dyDescent="0.25">
      <c r="B125" s="158" t="s">
        <v>832</v>
      </c>
      <c r="C125" s="128" t="s">
        <v>21</v>
      </c>
      <c r="D125" s="205" t="s">
        <v>815</v>
      </c>
      <c r="E125" s="146"/>
      <c r="F125" s="151"/>
      <c r="G125"/>
      <c r="H125" s="8"/>
      <c r="I125" s="8"/>
      <c r="J125" s="8"/>
      <c r="K125" s="244" t="s">
        <v>262</v>
      </c>
      <c r="L125" s="245"/>
      <c r="M125" s="128" t="s">
        <v>851</v>
      </c>
      <c r="N125" s="205" t="s">
        <v>815</v>
      </c>
      <c r="O125" s="146"/>
      <c r="P125" s="151"/>
      <c r="Q125"/>
      <c r="R125" s="8"/>
      <c r="S125" s="8"/>
      <c r="T125" s="69" t="s">
        <v>453</v>
      </c>
      <c r="U125" s="83" t="s">
        <v>453</v>
      </c>
      <c r="V125" t="s">
        <v>453</v>
      </c>
      <c r="W125" t="e">
        <f>INDEX('Country Code LU'!$B$2:$B$250,MATCH('Priority Manifest'!#REF!,'Country Code LU'!$A$2:$A$250,0))</f>
        <v>#REF!</v>
      </c>
      <c r="X125" s="6"/>
      <c r="Y125" t="s">
        <v>241</v>
      </c>
      <c r="Z125"/>
      <c r="AA125"/>
      <c r="AB125"/>
      <c r="AC125"/>
      <c r="AD125" t="s">
        <v>246</v>
      </c>
      <c r="AE125"/>
    </row>
    <row r="126" spans="2:33" ht="14.25" customHeight="1" x14ac:dyDescent="0.25">
      <c r="B126" s="158" t="s">
        <v>249</v>
      </c>
      <c r="C126" s="128" t="s">
        <v>851</v>
      </c>
      <c r="D126" s="205" t="s">
        <v>815</v>
      </c>
      <c r="E126" s="146"/>
      <c r="F126" s="151"/>
      <c r="G126"/>
      <c r="H126" s="8"/>
      <c r="I126" s="8"/>
      <c r="J126" s="8"/>
      <c r="K126" s="244" t="s">
        <v>266</v>
      </c>
      <c r="L126" s="245"/>
      <c r="M126" s="128" t="s">
        <v>21</v>
      </c>
      <c r="N126" s="205" t="s">
        <v>815</v>
      </c>
      <c r="O126" s="146"/>
      <c r="P126" s="151"/>
      <c r="Q126"/>
      <c r="R126" s="8"/>
      <c r="S126" s="8"/>
      <c r="T126" s="69" t="s">
        <v>453</v>
      </c>
      <c r="U126" s="83" t="s">
        <v>453</v>
      </c>
      <c r="V126" t="s">
        <v>453</v>
      </c>
      <c r="W126" t="s">
        <v>453</v>
      </c>
      <c r="X126" s="6"/>
      <c r="Y126" t="s">
        <v>245</v>
      </c>
      <c r="Z126"/>
      <c r="AA126"/>
      <c r="AB126"/>
      <c r="AC126"/>
      <c r="AD126" t="s">
        <v>250</v>
      </c>
      <c r="AE126"/>
    </row>
    <row r="127" spans="2:33" ht="14.25" customHeight="1" x14ac:dyDescent="0.25">
      <c r="B127" s="158" t="s">
        <v>253</v>
      </c>
      <c r="C127" s="128" t="s">
        <v>851</v>
      </c>
      <c r="D127" s="205" t="s">
        <v>815</v>
      </c>
      <c r="E127" s="146"/>
      <c r="F127" s="151"/>
      <c r="G127"/>
      <c r="H127" s="8"/>
      <c r="I127" s="8"/>
      <c r="J127" s="8"/>
      <c r="K127" s="244" t="s">
        <v>270</v>
      </c>
      <c r="L127" s="245"/>
      <c r="M127" s="128" t="s">
        <v>851</v>
      </c>
      <c r="N127" s="205" t="s">
        <v>815</v>
      </c>
      <c r="O127" s="146"/>
      <c r="P127" s="151"/>
      <c r="Q127"/>
      <c r="R127" s="8"/>
      <c r="S127" s="8"/>
      <c r="T127" s="69" t="s">
        <v>453</v>
      </c>
      <c r="U127" s="83" t="s">
        <v>453</v>
      </c>
      <c r="V127" t="s">
        <v>453</v>
      </c>
      <c r="W127" t="s">
        <v>453</v>
      </c>
      <c r="X127" s="6"/>
      <c r="Y127" t="s">
        <v>249</v>
      </c>
      <c r="Z127"/>
      <c r="AA127"/>
      <c r="AB127"/>
      <c r="AC127"/>
      <c r="AD127" t="s">
        <v>254</v>
      </c>
      <c r="AE127"/>
    </row>
    <row r="128" spans="2:33" ht="14.25" customHeight="1" x14ac:dyDescent="0.25">
      <c r="B128" s="158" t="s">
        <v>257</v>
      </c>
      <c r="C128" s="128" t="s">
        <v>851</v>
      </c>
      <c r="D128" s="205" t="s">
        <v>815</v>
      </c>
      <c r="E128" s="146"/>
      <c r="F128" s="151"/>
      <c r="G128"/>
      <c r="H128" s="8"/>
      <c r="I128" s="8"/>
      <c r="J128" s="8"/>
      <c r="K128" s="244" t="s">
        <v>836</v>
      </c>
      <c r="L128" s="245"/>
      <c r="M128" s="128" t="s">
        <v>21</v>
      </c>
      <c r="N128" s="205" t="s">
        <v>815</v>
      </c>
      <c r="O128" s="146"/>
      <c r="P128" s="151"/>
      <c r="Q128"/>
      <c r="R128" s="8"/>
      <c r="S128" s="8"/>
      <c r="T128" s="69" t="s">
        <v>453</v>
      </c>
      <c r="U128" s="83" t="s">
        <v>453</v>
      </c>
      <c r="V128" t="s">
        <v>453</v>
      </c>
      <c r="W128" t="s">
        <v>453</v>
      </c>
      <c r="X128" s="6"/>
      <c r="Y128" t="s">
        <v>253</v>
      </c>
      <c r="Z128"/>
      <c r="AA128"/>
      <c r="AB128"/>
      <c r="AC128"/>
      <c r="AD128" t="s">
        <v>258</v>
      </c>
      <c r="AE128"/>
    </row>
    <row r="129" spans="2:31" ht="14.25" customHeight="1" x14ac:dyDescent="0.25">
      <c r="B129" s="158" t="s">
        <v>261</v>
      </c>
      <c r="C129" s="128" t="s">
        <v>851</v>
      </c>
      <c r="D129" s="206" t="s">
        <v>816</v>
      </c>
      <c r="E129" s="146"/>
      <c r="F129" s="151"/>
      <c r="G129"/>
      <c r="H129" s="8"/>
      <c r="I129" s="8"/>
      <c r="J129" s="8"/>
      <c r="K129" s="244" t="s">
        <v>837</v>
      </c>
      <c r="L129" s="245"/>
      <c r="M129" s="128" t="s">
        <v>851</v>
      </c>
      <c r="N129" s="205" t="s">
        <v>815</v>
      </c>
      <c r="O129" s="146"/>
      <c r="P129" s="151"/>
      <c r="Q129"/>
      <c r="R129" s="8"/>
      <c r="S129" s="8"/>
      <c r="T129" s="69" t="s">
        <v>453</v>
      </c>
      <c r="U129" s="83" t="s">
        <v>453</v>
      </c>
      <c r="V129" t="s">
        <v>453</v>
      </c>
      <c r="W129" t="s">
        <v>453</v>
      </c>
      <c r="X129" s="6"/>
      <c r="Y129" t="s">
        <v>257</v>
      </c>
      <c r="Z129"/>
      <c r="AA129"/>
      <c r="AB129"/>
      <c r="AC129"/>
      <c r="AD129" t="s">
        <v>262</v>
      </c>
      <c r="AE129"/>
    </row>
    <row r="130" spans="2:31" ht="14.25" customHeight="1" x14ac:dyDescent="0.25">
      <c r="B130" s="158" t="s">
        <v>265</v>
      </c>
      <c r="C130" s="128" t="s">
        <v>851</v>
      </c>
      <c r="D130" s="206" t="s">
        <v>816</v>
      </c>
      <c r="E130" s="146"/>
      <c r="F130" s="151"/>
      <c r="G130"/>
      <c r="H130" s="8"/>
      <c r="I130" s="8"/>
      <c r="J130" s="8"/>
      <c r="K130" s="244" t="s">
        <v>671</v>
      </c>
      <c r="L130" s="245"/>
      <c r="M130" s="128" t="s">
        <v>851</v>
      </c>
      <c r="N130" s="205" t="s">
        <v>815</v>
      </c>
      <c r="O130" s="146"/>
      <c r="P130" s="151"/>
      <c r="Q130"/>
      <c r="R130" s="8"/>
      <c r="S130" s="8"/>
      <c r="T130" s="69" t="s">
        <v>453</v>
      </c>
      <c r="U130" s="83" t="s">
        <v>453</v>
      </c>
      <c r="V130" t="s">
        <v>453</v>
      </c>
      <c r="W130" t="s">
        <v>453</v>
      </c>
      <c r="X130" s="6"/>
      <c r="Y130" t="s">
        <v>261</v>
      </c>
      <c r="Z130"/>
      <c r="AA130"/>
      <c r="AB130"/>
      <c r="AC130"/>
      <c r="AD130" t="s">
        <v>266</v>
      </c>
      <c r="AE130"/>
    </row>
    <row r="131" spans="2:31" ht="14.25" customHeight="1" x14ac:dyDescent="0.25">
      <c r="B131" s="158" t="s">
        <v>476</v>
      </c>
      <c r="C131" s="128" t="s">
        <v>21</v>
      </c>
      <c r="D131" s="205" t="s">
        <v>815</v>
      </c>
      <c r="E131" s="146"/>
      <c r="F131" s="151"/>
      <c r="G131"/>
      <c r="H131" s="8"/>
      <c r="I131" s="8"/>
      <c r="J131" s="8"/>
      <c r="K131" s="244" t="s">
        <v>282</v>
      </c>
      <c r="L131" s="245"/>
      <c r="M131" s="128" t="s">
        <v>851</v>
      </c>
      <c r="N131" s="205" t="s">
        <v>815</v>
      </c>
      <c r="O131" s="146"/>
      <c r="P131" s="151"/>
      <c r="Q131"/>
      <c r="R131" s="8"/>
      <c r="S131" s="8"/>
      <c r="T131" s="69" t="s">
        <v>453</v>
      </c>
      <c r="U131" s="83" t="s">
        <v>453</v>
      </c>
      <c r="V131" t="s">
        <v>453</v>
      </c>
      <c r="W131" t="s">
        <v>453</v>
      </c>
      <c r="X131" s="6"/>
      <c r="Y131" t="s">
        <v>265</v>
      </c>
      <c r="Z131"/>
      <c r="AA131"/>
      <c r="AB131"/>
      <c r="AC131"/>
      <c r="AD131" t="s">
        <v>270</v>
      </c>
      <c r="AE131"/>
    </row>
    <row r="132" spans="2:31" ht="14.25" customHeight="1" x14ac:dyDescent="0.25">
      <c r="B132" s="158" t="s">
        <v>269</v>
      </c>
      <c r="C132" s="128" t="s">
        <v>851</v>
      </c>
      <c r="D132" s="205" t="s">
        <v>815</v>
      </c>
      <c r="E132" s="146"/>
      <c r="F132" s="151"/>
      <c r="G132"/>
      <c r="H132" s="8"/>
      <c r="I132" s="8"/>
      <c r="J132" s="8"/>
      <c r="K132" s="244" t="s">
        <v>286</v>
      </c>
      <c r="L132" s="245"/>
      <c r="M132" s="128" t="s">
        <v>851</v>
      </c>
      <c r="N132" s="205" t="s">
        <v>815</v>
      </c>
      <c r="O132" s="146"/>
      <c r="P132" s="151"/>
      <c r="Q132"/>
      <c r="R132" s="8"/>
      <c r="S132" s="8"/>
      <c r="T132" s="69" t="s">
        <v>453</v>
      </c>
      <c r="U132" s="83" t="s">
        <v>453</v>
      </c>
      <c r="V132" t="s">
        <v>453</v>
      </c>
      <c r="W132" t="s">
        <v>453</v>
      </c>
      <c r="X132" s="6"/>
      <c r="Y132" t="s">
        <v>476</v>
      </c>
      <c r="Z132"/>
      <c r="AA132"/>
      <c r="AB132"/>
      <c r="AC132"/>
      <c r="AD132" t="s">
        <v>274</v>
      </c>
      <c r="AE132"/>
    </row>
    <row r="133" spans="2:31" ht="14.25" customHeight="1" x14ac:dyDescent="0.25">
      <c r="B133" s="158" t="s">
        <v>273</v>
      </c>
      <c r="C133" s="128" t="s">
        <v>851</v>
      </c>
      <c r="D133" s="205" t="s">
        <v>815</v>
      </c>
      <c r="E133" s="146"/>
      <c r="F133" s="151"/>
      <c r="G133"/>
      <c r="H133" s="8"/>
      <c r="I133" s="8"/>
      <c r="J133" s="8"/>
      <c r="K133" s="244" t="s">
        <v>290</v>
      </c>
      <c r="L133" s="245"/>
      <c r="M133" s="128" t="s">
        <v>21</v>
      </c>
      <c r="N133" s="205" t="s">
        <v>815</v>
      </c>
      <c r="O133" s="146"/>
      <c r="P133" s="151"/>
      <c r="Q133"/>
      <c r="R133" s="8"/>
      <c r="S133" s="8"/>
      <c r="T133" s="69" t="s">
        <v>453</v>
      </c>
      <c r="U133" s="83" t="s">
        <v>453</v>
      </c>
      <c r="V133" t="s">
        <v>453</v>
      </c>
      <c r="W133" t="s">
        <v>453</v>
      </c>
      <c r="X133" s="6"/>
      <c r="Y133" t="s">
        <v>269</v>
      </c>
      <c r="Z133"/>
      <c r="AA133"/>
      <c r="AB133"/>
      <c r="AC133"/>
      <c r="AD133" t="s">
        <v>278</v>
      </c>
      <c r="AE133"/>
    </row>
    <row r="134" spans="2:31" ht="14.25" customHeight="1" x14ac:dyDescent="0.25">
      <c r="B134" s="158" t="s">
        <v>277</v>
      </c>
      <c r="C134" s="128" t="s">
        <v>21</v>
      </c>
      <c r="D134" s="205" t="s">
        <v>815</v>
      </c>
      <c r="E134" s="146"/>
      <c r="F134" s="151"/>
      <c r="G134"/>
      <c r="H134" s="8"/>
      <c r="I134" s="8"/>
      <c r="J134" s="8"/>
      <c r="K134" s="244" t="s">
        <v>294</v>
      </c>
      <c r="L134" s="245"/>
      <c r="M134" s="128" t="s">
        <v>851</v>
      </c>
      <c r="N134" s="206" t="s">
        <v>816</v>
      </c>
      <c r="O134" s="146"/>
      <c r="P134" s="151"/>
      <c r="Q134"/>
      <c r="R134" s="8"/>
      <c r="S134" s="8"/>
      <c r="T134" s="69" t="s">
        <v>453</v>
      </c>
      <c r="U134" s="83" t="s">
        <v>453</v>
      </c>
      <c r="V134" t="s">
        <v>453</v>
      </c>
      <c r="W134" t="s">
        <v>453</v>
      </c>
      <c r="X134" s="6"/>
      <c r="Y134" t="s">
        <v>273</v>
      </c>
      <c r="Z134"/>
      <c r="AA134"/>
      <c r="AB134"/>
      <c r="AC134"/>
      <c r="AD134" t="s">
        <v>282</v>
      </c>
      <c r="AE134"/>
    </row>
    <row r="135" spans="2:31" ht="14.25" customHeight="1" x14ac:dyDescent="0.25">
      <c r="B135" s="158" t="s">
        <v>281</v>
      </c>
      <c r="C135" s="128" t="s">
        <v>851</v>
      </c>
      <c r="D135" s="205" t="s">
        <v>815</v>
      </c>
      <c r="E135" s="146"/>
      <c r="F135" s="151"/>
      <c r="G135"/>
      <c r="H135" s="8"/>
      <c r="I135" s="8"/>
      <c r="J135" s="8"/>
      <c r="K135" s="244" t="s">
        <v>298</v>
      </c>
      <c r="L135" s="245"/>
      <c r="M135" s="128" t="s">
        <v>851</v>
      </c>
      <c r="N135" s="205" t="s">
        <v>815</v>
      </c>
      <c r="O135" s="146"/>
      <c r="P135" s="151"/>
      <c r="Q135"/>
      <c r="R135" s="8"/>
      <c r="S135" s="8"/>
      <c r="T135" s="69" t="s">
        <v>453</v>
      </c>
      <c r="U135" s="83" t="s">
        <v>453</v>
      </c>
      <c r="V135" t="s">
        <v>453</v>
      </c>
      <c r="W135" t="s">
        <v>453</v>
      </c>
      <c r="X135" s="6"/>
      <c r="Y135" t="s">
        <v>277</v>
      </c>
      <c r="Z135"/>
      <c r="AA135"/>
      <c r="AB135"/>
      <c r="AC135"/>
      <c r="AD135" t="s">
        <v>286</v>
      </c>
      <c r="AE135"/>
    </row>
    <row r="136" spans="2:31" ht="14.25" customHeight="1" x14ac:dyDescent="0.25">
      <c r="B136" s="158" t="s">
        <v>285</v>
      </c>
      <c r="C136" s="128" t="s">
        <v>851</v>
      </c>
      <c r="D136" s="205" t="s">
        <v>815</v>
      </c>
      <c r="E136" s="146"/>
      <c r="F136" s="151"/>
      <c r="G136"/>
      <c r="H136" s="8"/>
      <c r="I136" s="8"/>
      <c r="J136" s="8"/>
      <c r="K136" s="244" t="s">
        <v>306</v>
      </c>
      <c r="L136" s="245"/>
      <c r="M136" s="128" t="s">
        <v>851</v>
      </c>
      <c r="N136" s="205" t="s">
        <v>815</v>
      </c>
      <c r="O136" s="146"/>
      <c r="P136" s="151"/>
      <c r="Q136"/>
      <c r="R136" s="8"/>
      <c r="S136" s="8"/>
      <c r="T136" s="69" t="s">
        <v>453</v>
      </c>
      <c r="U136" s="83" t="s">
        <v>453</v>
      </c>
      <c r="V136" t="s">
        <v>453</v>
      </c>
      <c r="W136" t="s">
        <v>453</v>
      </c>
      <c r="X136" s="6"/>
      <c r="Y136" t="s">
        <v>281</v>
      </c>
      <c r="Z136"/>
      <c r="AA136"/>
      <c r="AB136"/>
      <c r="AC136"/>
      <c r="AD136" t="s">
        <v>290</v>
      </c>
      <c r="AE136"/>
    </row>
    <row r="137" spans="2:31" ht="14.25" customHeight="1" x14ac:dyDescent="0.25">
      <c r="B137" s="158" t="s">
        <v>289</v>
      </c>
      <c r="C137" s="128" t="s">
        <v>851</v>
      </c>
      <c r="D137" s="205" t="s">
        <v>815</v>
      </c>
      <c r="E137" s="146"/>
      <c r="F137" s="151"/>
      <c r="G137"/>
      <c r="H137" s="8"/>
      <c r="I137" s="8"/>
      <c r="J137" s="8"/>
      <c r="K137" s="244" t="s">
        <v>314</v>
      </c>
      <c r="L137" s="245"/>
      <c r="M137" s="128" t="s">
        <v>851</v>
      </c>
      <c r="N137" s="205" t="s">
        <v>815</v>
      </c>
      <c r="O137" s="146"/>
      <c r="P137" s="151"/>
      <c r="Q137"/>
      <c r="R137" s="8"/>
      <c r="S137" s="8"/>
      <c r="T137" s="69" t="s">
        <v>453</v>
      </c>
      <c r="U137" s="83" t="s">
        <v>453</v>
      </c>
      <c r="V137" t="s">
        <v>453</v>
      </c>
      <c r="W137" t="s">
        <v>453</v>
      </c>
      <c r="X137" s="6"/>
      <c r="Y137" t="s">
        <v>285</v>
      </c>
      <c r="Z137"/>
      <c r="AA137"/>
      <c r="AB137"/>
      <c r="AC137"/>
      <c r="AD137" t="s">
        <v>294</v>
      </c>
      <c r="AE137"/>
    </row>
    <row r="138" spans="2:31" ht="14.25" customHeight="1" x14ac:dyDescent="0.25">
      <c r="B138" s="158" t="s">
        <v>293</v>
      </c>
      <c r="C138" s="128" t="s">
        <v>851</v>
      </c>
      <c r="D138" s="205" t="s">
        <v>815</v>
      </c>
      <c r="E138" s="146"/>
      <c r="F138" s="151"/>
      <c r="G138"/>
      <c r="H138" s="8"/>
      <c r="I138" s="8"/>
      <c r="J138" s="8"/>
      <c r="K138" s="244" t="s">
        <v>317</v>
      </c>
      <c r="L138" s="245"/>
      <c r="M138" s="128" t="s">
        <v>851</v>
      </c>
      <c r="N138" s="205" t="s">
        <v>815</v>
      </c>
      <c r="O138" s="146"/>
      <c r="P138" s="151"/>
      <c r="Q138"/>
      <c r="R138" s="8"/>
      <c r="S138" s="8"/>
      <c r="T138" s="69" t="s">
        <v>453</v>
      </c>
      <c r="U138" s="83" t="s">
        <v>453</v>
      </c>
      <c r="V138" t="s">
        <v>453</v>
      </c>
      <c r="W138" t="s">
        <v>453</v>
      </c>
      <c r="X138" s="6"/>
      <c r="Y138" t="s">
        <v>289</v>
      </c>
      <c r="Z138"/>
      <c r="AA138"/>
      <c r="AB138"/>
      <c r="AC138"/>
      <c r="AD138" t="s">
        <v>298</v>
      </c>
      <c r="AE138"/>
    </row>
    <row r="139" spans="2:31" ht="14.25" customHeight="1" x14ac:dyDescent="0.25">
      <c r="B139" s="158" t="s">
        <v>297</v>
      </c>
      <c r="C139" s="128" t="s">
        <v>851</v>
      </c>
      <c r="D139" s="205" t="s">
        <v>815</v>
      </c>
      <c r="E139" s="146"/>
      <c r="F139" s="151"/>
      <c r="G139"/>
      <c r="H139" s="8"/>
      <c r="I139" s="8"/>
      <c r="J139" s="8"/>
      <c r="K139" s="244" t="s">
        <v>323</v>
      </c>
      <c r="L139" s="245"/>
      <c r="M139" s="128" t="s">
        <v>851</v>
      </c>
      <c r="N139" s="205" t="s">
        <v>815</v>
      </c>
      <c r="O139" s="146"/>
      <c r="P139" s="151"/>
      <c r="Q139"/>
      <c r="R139" s="8"/>
      <c r="S139" s="8"/>
      <c r="T139" s="69" t="s">
        <v>453</v>
      </c>
      <c r="U139" s="83" t="s">
        <v>453</v>
      </c>
      <c r="V139" t="s">
        <v>453</v>
      </c>
      <c r="W139" t="s">
        <v>453</v>
      </c>
      <c r="X139" s="6"/>
      <c r="Y139" t="s">
        <v>293</v>
      </c>
      <c r="Z139"/>
      <c r="AA139"/>
      <c r="AB139"/>
      <c r="AC139"/>
      <c r="AD139" t="s">
        <v>302</v>
      </c>
      <c r="AE139"/>
    </row>
    <row r="140" spans="2:31" ht="14.25" customHeight="1" x14ac:dyDescent="0.25">
      <c r="B140" s="158" t="s">
        <v>833</v>
      </c>
      <c r="C140" s="128" t="s">
        <v>21</v>
      </c>
      <c r="D140" s="205" t="s">
        <v>815</v>
      </c>
      <c r="E140" s="146"/>
      <c r="F140" s="151"/>
      <c r="G140"/>
      <c r="H140" s="8"/>
      <c r="I140" s="8"/>
      <c r="J140" s="8"/>
      <c r="K140" s="244" t="s">
        <v>327</v>
      </c>
      <c r="L140" s="245"/>
      <c r="M140" s="128" t="s">
        <v>851</v>
      </c>
      <c r="N140" s="205" t="s">
        <v>815</v>
      </c>
      <c r="O140" s="146"/>
      <c r="P140" s="151"/>
      <c r="Q140"/>
      <c r="R140" s="8"/>
      <c r="S140" s="8"/>
      <c r="T140" s="69" t="s">
        <v>453</v>
      </c>
      <c r="U140" s="83" t="s">
        <v>453</v>
      </c>
      <c r="V140" t="s">
        <v>453</v>
      </c>
      <c r="W140" t="s">
        <v>453</v>
      </c>
      <c r="X140" s="6"/>
      <c r="Y140" t="s">
        <v>297</v>
      </c>
      <c r="Z140"/>
      <c r="AA140"/>
      <c r="AB140"/>
      <c r="AC140"/>
      <c r="AD140" t="s">
        <v>306</v>
      </c>
      <c r="AE140"/>
    </row>
    <row r="141" spans="2:31" ht="14.25" customHeight="1" x14ac:dyDescent="0.25">
      <c r="B141" s="158" t="s">
        <v>305</v>
      </c>
      <c r="C141" s="128" t="s">
        <v>851</v>
      </c>
      <c r="D141" s="205" t="s">
        <v>815</v>
      </c>
      <c r="E141" s="146"/>
      <c r="F141" s="151"/>
      <c r="G141"/>
      <c r="H141" s="8"/>
      <c r="I141" s="8"/>
      <c r="J141" s="8"/>
      <c r="K141" s="244" t="s">
        <v>331</v>
      </c>
      <c r="L141" s="245"/>
      <c r="M141" s="128" t="s">
        <v>851</v>
      </c>
      <c r="N141" s="206" t="s">
        <v>816</v>
      </c>
      <c r="O141" s="146"/>
      <c r="P141" s="151"/>
      <c r="Q141"/>
      <c r="R141" s="8"/>
      <c r="S141" s="8"/>
      <c r="T141" s="69" t="s">
        <v>453</v>
      </c>
      <c r="U141" s="83" t="s">
        <v>453</v>
      </c>
      <c r="V141" t="s">
        <v>453</v>
      </c>
      <c r="W141" t="s">
        <v>453</v>
      </c>
      <c r="X141" s="6"/>
      <c r="Y141" t="s">
        <v>301</v>
      </c>
      <c r="Z141"/>
      <c r="AA141"/>
      <c r="AB141"/>
      <c r="AC141"/>
      <c r="AD141" t="s">
        <v>310</v>
      </c>
      <c r="AE141"/>
    </row>
    <row r="142" spans="2:31" ht="14.25" customHeight="1" x14ac:dyDescent="0.25">
      <c r="B142" s="158" t="s">
        <v>88</v>
      </c>
      <c r="C142" s="110" t="s">
        <v>21</v>
      </c>
      <c r="D142" s="206" t="s">
        <v>816</v>
      </c>
      <c r="E142" s="146"/>
      <c r="F142" s="151"/>
      <c r="G142"/>
      <c r="H142" s="8"/>
      <c r="I142" s="8"/>
      <c r="J142" s="8"/>
      <c r="K142" s="244" t="s">
        <v>335</v>
      </c>
      <c r="L142" s="245"/>
      <c r="M142" s="128" t="s">
        <v>21</v>
      </c>
      <c r="N142" s="205" t="s">
        <v>815</v>
      </c>
      <c r="O142" s="146"/>
      <c r="P142" s="151"/>
      <c r="Q142"/>
      <c r="R142" s="8"/>
      <c r="S142" s="8"/>
      <c r="T142" s="69" t="s">
        <v>453</v>
      </c>
      <c r="U142" s="83" t="s">
        <v>453</v>
      </c>
      <c r="V142" t="s">
        <v>453</v>
      </c>
      <c r="W142" t="s">
        <v>453</v>
      </c>
      <c r="X142" s="6"/>
      <c r="Y142" t="s">
        <v>305</v>
      </c>
      <c r="Z142"/>
      <c r="AA142"/>
      <c r="AB142"/>
      <c r="AC142"/>
      <c r="AD142" t="s">
        <v>314</v>
      </c>
      <c r="AE142"/>
    </row>
    <row r="143" spans="2:31" ht="14.25" customHeight="1" x14ac:dyDescent="0.25">
      <c r="B143" s="158" t="s">
        <v>309</v>
      </c>
      <c r="C143" s="128" t="s">
        <v>851</v>
      </c>
      <c r="D143" s="205" t="s">
        <v>815</v>
      </c>
      <c r="E143" s="146"/>
      <c r="F143" s="151"/>
      <c r="G143"/>
      <c r="H143" s="8"/>
      <c r="I143" s="8"/>
      <c r="J143" s="8"/>
      <c r="K143" s="244" t="s">
        <v>338</v>
      </c>
      <c r="L143" s="245"/>
      <c r="M143" s="128" t="s">
        <v>21</v>
      </c>
      <c r="N143" s="205" t="s">
        <v>815</v>
      </c>
      <c r="O143" s="146"/>
      <c r="P143" s="151"/>
      <c r="Q143"/>
      <c r="R143" s="8"/>
      <c r="S143" s="8"/>
      <c r="T143" s="69" t="s">
        <v>453</v>
      </c>
      <c r="U143" s="83" t="s">
        <v>453</v>
      </c>
      <c r="V143" t="str">
        <f>INDEX('Country Code LU'!$B$2:$B$250,MATCH('Priority Manifest'!$B143,'Country Code LU'!$A$2:$A$250,0))</f>
        <v>IN</v>
      </c>
      <c r="W143" t="s">
        <v>453</v>
      </c>
      <c r="X143" s="6"/>
      <c r="Y143" t="s">
        <v>309</v>
      </c>
      <c r="Z143"/>
      <c r="AA143"/>
      <c r="AB143"/>
      <c r="AC143"/>
      <c r="AD143" t="s">
        <v>317</v>
      </c>
      <c r="AE143"/>
    </row>
    <row r="144" spans="2:31" ht="14.25" customHeight="1" x14ac:dyDescent="0.25">
      <c r="B144" s="158" t="s">
        <v>313</v>
      </c>
      <c r="C144" s="128" t="s">
        <v>851</v>
      </c>
      <c r="D144" s="206" t="s">
        <v>816</v>
      </c>
      <c r="E144" s="146"/>
      <c r="F144" s="151"/>
      <c r="G144"/>
      <c r="H144" s="8"/>
      <c r="I144" s="8"/>
      <c r="J144" s="8"/>
      <c r="K144" s="244" t="s">
        <v>838</v>
      </c>
      <c r="L144" s="245"/>
      <c r="M144" s="128" t="s">
        <v>21</v>
      </c>
      <c r="N144" s="205" t="s">
        <v>815</v>
      </c>
      <c r="O144" s="146"/>
      <c r="P144" s="151"/>
      <c r="Q144"/>
      <c r="R144" s="8"/>
      <c r="S144" s="8"/>
      <c r="T144" s="69" t="s">
        <v>453</v>
      </c>
      <c r="U144" s="83" t="s">
        <v>453</v>
      </c>
      <c r="V144" t="str">
        <f>INDEX('Country Code LU'!$B$2:$B$250,MATCH('Priority Manifest'!$B144,'Country Code LU'!$A$2:$A$250,0))</f>
        <v>ID</v>
      </c>
      <c r="W144" t="s">
        <v>453</v>
      </c>
      <c r="X144" s="6"/>
      <c r="Y144" t="s">
        <v>313</v>
      </c>
      <c r="Z144"/>
      <c r="AA144"/>
      <c r="AB144"/>
      <c r="AC144"/>
      <c r="AD144" t="s">
        <v>319</v>
      </c>
      <c r="AE144"/>
    </row>
    <row r="145" spans="2:31" ht="14.25" customHeight="1" x14ac:dyDescent="0.25">
      <c r="B145" s="158" t="s">
        <v>318</v>
      </c>
      <c r="C145" s="110" t="s">
        <v>21</v>
      </c>
      <c r="D145" s="205" t="s">
        <v>815</v>
      </c>
      <c r="E145" s="146"/>
      <c r="F145" s="151"/>
      <c r="G145"/>
      <c r="H145" s="8"/>
      <c r="I145" s="8"/>
      <c r="J145" s="8"/>
      <c r="K145" s="233" t="s">
        <v>835</v>
      </c>
      <c r="L145" s="234"/>
      <c r="M145" s="128" t="s">
        <v>851</v>
      </c>
      <c r="N145" s="205" t="s">
        <v>815</v>
      </c>
      <c r="O145" s="235"/>
      <c r="P145" s="236"/>
      <c r="Q145"/>
      <c r="R145" s="8"/>
      <c r="S145" s="8"/>
      <c r="T145" s="69" t="s">
        <v>453</v>
      </c>
      <c r="U145" s="83" t="s">
        <v>453</v>
      </c>
      <c r="V145" t="s">
        <v>453</v>
      </c>
      <c r="W145" t="s">
        <v>453</v>
      </c>
      <c r="X145" s="6"/>
      <c r="Y145" t="s">
        <v>318</v>
      </c>
      <c r="Z145"/>
      <c r="AA145"/>
      <c r="AB145"/>
      <c r="AC145"/>
      <c r="AD145" t="s">
        <v>323</v>
      </c>
      <c r="AE145"/>
    </row>
    <row r="146" spans="2:31" ht="14.25" customHeight="1" thickBot="1" x14ac:dyDescent="0.3">
      <c r="B146" s="158" t="s">
        <v>322</v>
      </c>
      <c r="C146" s="128" t="s">
        <v>851</v>
      </c>
      <c r="D146" s="205" t="s">
        <v>815</v>
      </c>
      <c r="E146" s="146"/>
      <c r="F146" s="151"/>
      <c r="G146"/>
      <c r="H146" s="8"/>
      <c r="I146" s="8"/>
      <c r="J146" s="8"/>
      <c r="K146" s="249" t="s">
        <v>344</v>
      </c>
      <c r="L146" s="250"/>
      <c r="M146" s="128" t="s">
        <v>851</v>
      </c>
      <c r="N146" s="205" t="s">
        <v>815</v>
      </c>
      <c r="O146" s="153"/>
      <c r="P146" s="154"/>
      <c r="Q146"/>
      <c r="R146" s="8"/>
      <c r="S146" s="8"/>
      <c r="T146" s="69" t="s">
        <v>453</v>
      </c>
      <c r="U146" s="83" t="s">
        <v>453</v>
      </c>
      <c r="V146" t="s">
        <v>453</v>
      </c>
      <c r="W146" t="s">
        <v>453</v>
      </c>
      <c r="X146" s="6"/>
      <c r="Y146" t="s">
        <v>322</v>
      </c>
      <c r="Z146"/>
      <c r="AA146"/>
      <c r="AB146"/>
      <c r="AC146"/>
      <c r="AD146" t="s">
        <v>327</v>
      </c>
      <c r="AE146"/>
    </row>
    <row r="147" spans="2:31" ht="14.25" customHeight="1" x14ac:dyDescent="0.25">
      <c r="B147" s="158" t="s">
        <v>326</v>
      </c>
      <c r="C147" s="128" t="s">
        <v>851</v>
      </c>
      <c r="D147" s="205" t="s">
        <v>815</v>
      </c>
      <c r="E147" s="146"/>
      <c r="F147" s="151"/>
      <c r="G147"/>
      <c r="H147" s="8"/>
      <c r="I147" s="8"/>
      <c r="J147" s="8"/>
      <c r="Q147"/>
      <c r="R147" s="8"/>
      <c r="S147" s="8"/>
      <c r="T147" s="69" t="s">
        <v>453</v>
      </c>
      <c r="U147" s="83" t="s">
        <v>453</v>
      </c>
      <c r="V147" t="s">
        <v>453</v>
      </c>
      <c r="W147" t="str">
        <f>INDEX('Country Code LU'!$B$2:$B$250,MATCH('Priority Manifest'!$K141,'Country Code LU'!$A$2:$A$250,0))</f>
        <v>NG</v>
      </c>
      <c r="X147" s="6"/>
      <c r="Y147" t="s">
        <v>326</v>
      </c>
      <c r="Z147"/>
      <c r="AA147"/>
      <c r="AB147"/>
      <c r="AC147"/>
      <c r="AD147" t="s">
        <v>331</v>
      </c>
      <c r="AE147"/>
    </row>
    <row r="148" spans="2:31" ht="14.25" customHeight="1" x14ac:dyDescent="0.25">
      <c r="B148" s="158" t="s">
        <v>330</v>
      </c>
      <c r="C148" s="128" t="s">
        <v>851</v>
      </c>
      <c r="D148" s="205" t="s">
        <v>815</v>
      </c>
      <c r="E148" s="146"/>
      <c r="F148" s="151"/>
      <c r="G148"/>
      <c r="H148" s="8"/>
      <c r="I148" s="8"/>
      <c r="J148" s="8"/>
      <c r="Q148"/>
      <c r="R148" s="8"/>
      <c r="S148" s="8"/>
      <c r="T148" s="69" t="s">
        <v>453</v>
      </c>
      <c r="U148" s="83" t="s">
        <v>453</v>
      </c>
      <c r="V148" t="s">
        <v>453</v>
      </c>
      <c r="W148" t="s">
        <v>453</v>
      </c>
      <c r="X148" s="6"/>
      <c r="Y148" t="s">
        <v>330</v>
      </c>
      <c r="Z148"/>
      <c r="AA148"/>
      <c r="AB148"/>
      <c r="AC148"/>
      <c r="AD148" t="s">
        <v>335</v>
      </c>
      <c r="AE148"/>
    </row>
    <row r="149" spans="2:31" ht="14.25" customHeight="1" x14ac:dyDescent="0.25">
      <c r="B149" s="158" t="s">
        <v>477</v>
      </c>
      <c r="C149" s="128" t="s">
        <v>851</v>
      </c>
      <c r="D149" s="205" t="s">
        <v>815</v>
      </c>
      <c r="E149" s="146"/>
      <c r="F149" s="151"/>
      <c r="G149"/>
      <c r="H149" s="8"/>
      <c r="I149" s="8"/>
      <c r="J149" s="8"/>
      <c r="Q149"/>
      <c r="R149" s="8"/>
      <c r="S149" s="8"/>
      <c r="T149" s="69" t="s">
        <v>453</v>
      </c>
      <c r="U149" s="83" t="s">
        <v>453</v>
      </c>
      <c r="V149" t="s">
        <v>453</v>
      </c>
      <c r="W149" t="s">
        <v>453</v>
      </c>
      <c r="X149" s="6"/>
      <c r="Y149" t="s">
        <v>477</v>
      </c>
      <c r="Z149"/>
      <c r="AA149"/>
      <c r="AB149"/>
      <c r="AC149"/>
      <c r="AD149" t="s">
        <v>338</v>
      </c>
      <c r="AE149"/>
    </row>
    <row r="150" spans="2:31" ht="14.25" customHeight="1" x14ac:dyDescent="0.25">
      <c r="B150" s="158" t="s">
        <v>334</v>
      </c>
      <c r="C150" s="128" t="s">
        <v>851</v>
      </c>
      <c r="D150" s="205" t="s">
        <v>815</v>
      </c>
      <c r="E150" s="146"/>
      <c r="F150" s="151"/>
      <c r="G150"/>
      <c r="H150" s="8"/>
      <c r="I150" s="8"/>
      <c r="J150" s="8"/>
      <c r="Q150"/>
      <c r="R150" s="8"/>
      <c r="S150" s="8"/>
      <c r="T150" s="69" t="s">
        <v>453</v>
      </c>
      <c r="U150" s="83" t="s">
        <v>453</v>
      </c>
      <c r="V150" t="s">
        <v>453</v>
      </c>
      <c r="W150" t="s">
        <v>453</v>
      </c>
      <c r="X150" s="6"/>
      <c r="Y150" t="s">
        <v>334</v>
      </c>
      <c r="Z150"/>
      <c r="AA150"/>
      <c r="AB150"/>
      <c r="AC150"/>
      <c r="AD150" t="s">
        <v>340</v>
      </c>
      <c r="AE150"/>
    </row>
    <row r="151" spans="2:31" ht="14.25" customHeight="1" x14ac:dyDescent="0.25">
      <c r="B151" s="237" t="s">
        <v>850</v>
      </c>
      <c r="C151" s="128" t="s">
        <v>851</v>
      </c>
      <c r="D151" s="205" t="s">
        <v>815</v>
      </c>
      <c r="E151" s="235"/>
      <c r="F151" s="236"/>
      <c r="G151"/>
      <c r="H151" s="8"/>
      <c r="I151" s="8"/>
      <c r="J151" s="8"/>
      <c r="Q151"/>
      <c r="R151" s="8"/>
      <c r="S151" s="8"/>
      <c r="T151" s="73" t="s">
        <v>453</v>
      </c>
      <c r="U151" s="84" t="s">
        <v>453</v>
      </c>
      <c r="V151" t="s">
        <v>453</v>
      </c>
      <c r="W151" t="s">
        <v>453</v>
      </c>
      <c r="X151" s="6"/>
      <c r="Y151" t="s">
        <v>191</v>
      </c>
      <c r="Z151"/>
      <c r="AA151"/>
      <c r="AB151"/>
      <c r="AC151"/>
      <c r="AD151" t="s">
        <v>344</v>
      </c>
      <c r="AE151"/>
    </row>
    <row r="152" spans="2:31" ht="14.25" customHeight="1" thickBot="1" x14ac:dyDescent="0.3">
      <c r="B152" s="159" t="s">
        <v>191</v>
      </c>
      <c r="C152" s="128" t="s">
        <v>851</v>
      </c>
      <c r="D152" s="205" t="s">
        <v>815</v>
      </c>
      <c r="E152" s="153"/>
      <c r="F152" s="154"/>
      <c r="G152"/>
      <c r="H152" s="8"/>
      <c r="I152" s="8"/>
      <c r="J152" s="8"/>
      <c r="Q152"/>
      <c r="R152" s="8"/>
      <c r="S152" s="8"/>
      <c r="T152" s="96"/>
      <c r="U152" s="96"/>
      <c r="V152"/>
      <c r="W152"/>
      <c r="X152" s="6"/>
      <c r="Y152"/>
      <c r="Z152"/>
      <c r="AA152"/>
      <c r="AB152"/>
      <c r="AC152"/>
      <c r="AE152"/>
    </row>
    <row r="153" spans="2:31" ht="15" x14ac:dyDescent="0.25">
      <c r="G153"/>
      <c r="H153" s="8"/>
      <c r="I153" s="8"/>
      <c r="J153" s="8"/>
      <c r="Q153"/>
      <c r="R153" s="8"/>
      <c r="S153" s="8"/>
      <c r="T153" s="8"/>
      <c r="U153" s="8"/>
      <c r="V153"/>
      <c r="W153"/>
      <c r="X153" s="6"/>
      <c r="Y153"/>
      <c r="Z153"/>
      <c r="AA153"/>
      <c r="AB153"/>
      <c r="AC153"/>
      <c r="AD153"/>
      <c r="AE153"/>
    </row>
    <row r="154" spans="2:31" ht="21.6" customHeight="1" x14ac:dyDescent="0.25">
      <c r="B154"/>
      <c r="C154"/>
      <c r="D154"/>
      <c r="E154"/>
      <c r="F154"/>
      <c r="G154"/>
      <c r="H154" s="8"/>
      <c r="I154" s="8"/>
      <c r="J154" s="8"/>
      <c r="Q154"/>
      <c r="R154" s="8"/>
      <c r="S154" s="8"/>
      <c r="T154" s="8"/>
      <c r="U154" s="8"/>
      <c r="V154"/>
      <c r="W154"/>
      <c r="X154" s="6"/>
      <c r="Y154"/>
      <c r="Z154"/>
      <c r="AA154"/>
      <c r="AB154"/>
      <c r="AC154"/>
      <c r="AD154"/>
      <c r="AE154"/>
    </row>
    <row r="155" spans="2:31" ht="27" customHeight="1" x14ac:dyDescent="0.25">
      <c r="B155" s="7"/>
      <c r="C155" s="8"/>
      <c r="D155" s="8"/>
      <c r="E155" s="8"/>
      <c r="F155" s="8"/>
      <c r="G155"/>
      <c r="H155" s="8"/>
      <c r="I155" s="8"/>
      <c r="J155" s="8"/>
      <c r="Q155"/>
      <c r="R155" s="8"/>
      <c r="S155" s="8"/>
      <c r="T155" s="8"/>
      <c r="U155" s="8"/>
      <c r="V155"/>
      <c r="W155"/>
      <c r="X155" s="6"/>
      <c r="Y155"/>
      <c r="Z155"/>
      <c r="AA155"/>
      <c r="AB155"/>
      <c r="AC155"/>
      <c r="AD155"/>
      <c r="AE155"/>
    </row>
    <row r="156" spans="2:31" ht="27.75" x14ac:dyDescent="0.25">
      <c r="B156" s="109" t="s">
        <v>819</v>
      </c>
      <c r="C156" s="10"/>
      <c r="D156" s="10"/>
      <c r="E156" s="10"/>
      <c r="F156" s="9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/>
      <c r="R156" s="8"/>
      <c r="S156" s="8"/>
      <c r="T156" s="8"/>
      <c r="U156" s="8"/>
      <c r="V156"/>
      <c r="W156"/>
      <c r="X156" s="6"/>
      <c r="Y156"/>
      <c r="Z156"/>
      <c r="AA156"/>
      <c r="AB156"/>
      <c r="AC156"/>
      <c r="AD156"/>
      <c r="AE156"/>
    </row>
    <row r="157" spans="2:31" ht="14.25" customHeight="1" x14ac:dyDescent="0.25">
      <c r="B157" s="12" t="str">
        <f>B4</f>
        <v>Valid from 1st January 2025</v>
      </c>
      <c r="C157" s="13"/>
      <c r="D157" s="13"/>
      <c r="E157" s="13"/>
      <c r="F157" s="8"/>
      <c r="G157" s="9"/>
      <c r="H157" s="11"/>
      <c r="I157" s="11"/>
      <c r="J157" s="11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/>
      <c r="W157"/>
      <c r="X157" s="6"/>
      <c r="Y157"/>
      <c r="Z157"/>
      <c r="AA157"/>
      <c r="AB157"/>
      <c r="AC157"/>
      <c r="AD157"/>
      <c r="AE157"/>
    </row>
    <row r="158" spans="2:31" ht="14.25" customHeight="1" thickBot="1" x14ac:dyDescent="0.3">
      <c r="B158" s="14"/>
      <c r="C158" s="13"/>
      <c r="D158" s="13"/>
      <c r="E158" s="13"/>
      <c r="F158" s="8"/>
      <c r="G158" s="8"/>
      <c r="H158" s="8"/>
      <c r="I158" s="8"/>
      <c r="J158" s="8"/>
      <c r="K158" s="8"/>
      <c r="L158" s="8"/>
      <c r="M158"/>
      <c r="N158"/>
      <c r="O158"/>
      <c r="P158"/>
      <c r="Q158"/>
      <c r="R158" s="8"/>
      <c r="S158" s="8"/>
      <c r="T158" s="8"/>
      <c r="U158" s="8"/>
      <c r="V158"/>
      <c r="W158"/>
      <c r="X158" s="6"/>
      <c r="Y158"/>
      <c r="Z158"/>
      <c r="AA158"/>
      <c r="AB158"/>
      <c r="AC158"/>
      <c r="AD158"/>
      <c r="AE158"/>
    </row>
    <row r="159" spans="2:31" ht="14.25" customHeight="1" thickBot="1" x14ac:dyDescent="0.3">
      <c r="B159" s="251" t="s">
        <v>0</v>
      </c>
      <c r="C159" s="252"/>
      <c r="D159" s="253" t="str">
        <f>IF($D$6=0,"",$D$6)</f>
        <v>Citipost Ltd</v>
      </c>
      <c r="E159" s="253"/>
      <c r="F159" s="253"/>
      <c r="G159" s="252" t="s">
        <v>3</v>
      </c>
      <c r="H159" s="252"/>
      <c r="I159" s="143" t="str">
        <f>IF($D$7=0,"",$D$7)</f>
        <v/>
      </c>
      <c r="J159" s="143"/>
      <c r="K159" s="143"/>
      <c r="L159" s="252" t="s">
        <v>2</v>
      </c>
      <c r="M159" s="252"/>
      <c r="N159" s="144" t="str">
        <f>IF($N$6=0,"",$N$6)</f>
        <v/>
      </c>
      <c r="O159" s="143"/>
      <c r="P159" s="143"/>
      <c r="Q159" s="145"/>
      <c r="R159" s="8"/>
      <c r="S159" s="8"/>
      <c r="T159" s="8"/>
      <c r="U159" s="8"/>
      <c r="V159"/>
      <c r="W159"/>
      <c r="X159" s="6"/>
      <c r="Y159"/>
      <c r="Z159"/>
      <c r="AA159"/>
      <c r="AB159"/>
      <c r="AC159"/>
      <c r="AD159"/>
      <c r="AE159"/>
    </row>
    <row r="160" spans="2:31" ht="14.25" customHeight="1" x14ac:dyDescent="0.25"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6"/>
      <c r="M160" s="87"/>
      <c r="N160" s="87"/>
      <c r="O160" s="87"/>
      <c r="P160" s="86"/>
      <c r="Q160" s="86"/>
      <c r="R160" s="8"/>
      <c r="S160" s="8"/>
      <c r="T160" s="8"/>
      <c r="U160" s="8"/>
      <c r="V160"/>
      <c r="W160"/>
      <c r="X160" s="6"/>
      <c r="Y160"/>
      <c r="Z160"/>
      <c r="AA160"/>
      <c r="AB160"/>
      <c r="AC160"/>
      <c r="AD160"/>
      <c r="AE160"/>
    </row>
    <row r="161" spans="2:31" ht="14.25" customHeight="1" thickBot="1" x14ac:dyDescent="0.3">
      <c r="B161" s="58"/>
      <c r="C161" s="58"/>
      <c r="D161" s="58"/>
      <c r="E161" s="58"/>
      <c r="F161" s="58"/>
      <c r="G161" s="88">
        <v>1</v>
      </c>
      <c r="H161" s="58"/>
      <c r="I161" s="58"/>
      <c r="J161" s="58"/>
      <c r="K161" s="58"/>
      <c r="L161" s="63"/>
      <c r="M161" s="62"/>
      <c r="N161" s="62"/>
      <c r="O161" s="62"/>
      <c r="P161" s="63"/>
      <c r="Q161" s="63">
        <v>2</v>
      </c>
      <c r="R161" s="8"/>
      <c r="S161" s="8"/>
      <c r="T161" s="8"/>
      <c r="U161" s="8"/>
      <c r="V161"/>
      <c r="W161"/>
      <c r="X161" s="6"/>
      <c r="Y161"/>
      <c r="Z161"/>
      <c r="AA161"/>
      <c r="AB161"/>
      <c r="AC161"/>
      <c r="AD161"/>
      <c r="AE161"/>
    </row>
    <row r="162" spans="2:31" ht="14.25" customHeight="1" thickBot="1" x14ac:dyDescent="0.3">
      <c r="B162" s="25"/>
      <c r="C162" s="246" t="s">
        <v>9</v>
      </c>
      <c r="D162" s="247"/>
      <c r="E162" s="247"/>
      <c r="F162" s="248"/>
      <c r="G162"/>
      <c r="H162"/>
      <c r="I162"/>
      <c r="J162"/>
      <c r="K162"/>
      <c r="L162"/>
      <c r="M162" s="246" t="s">
        <v>9</v>
      </c>
      <c r="N162" s="247"/>
      <c r="O162" s="247"/>
      <c r="P162" s="248"/>
      <c r="Q162"/>
      <c r="R162" s="8"/>
      <c r="S162" s="8"/>
      <c r="T162" s="8"/>
      <c r="U162" s="8"/>
      <c r="V162"/>
      <c r="W162"/>
      <c r="X162" s="6"/>
      <c r="Y162"/>
      <c r="Z162"/>
      <c r="AA162"/>
      <c r="AB162"/>
      <c r="AC162"/>
      <c r="AD162"/>
      <c r="AE162"/>
    </row>
    <row r="163" spans="2:31" ht="14.25" customHeight="1" thickBot="1" x14ac:dyDescent="0.3">
      <c r="C163" s="219" t="s">
        <v>14</v>
      </c>
      <c r="D163" s="220" t="s">
        <v>15</v>
      </c>
      <c r="E163" s="220" t="s">
        <v>16</v>
      </c>
      <c r="F163" s="221" t="s">
        <v>17</v>
      </c>
      <c r="G163"/>
      <c r="H163"/>
      <c r="I163"/>
      <c r="J163"/>
      <c r="K163"/>
      <c r="L163"/>
      <c r="M163" s="219" t="s">
        <v>14</v>
      </c>
      <c r="N163" s="220" t="s">
        <v>15</v>
      </c>
      <c r="O163" s="220" t="s">
        <v>16</v>
      </c>
      <c r="P163" s="221" t="s">
        <v>17</v>
      </c>
      <c r="Q163"/>
      <c r="R163" s="8"/>
      <c r="S163" s="8"/>
      <c r="T163" s="68" t="s">
        <v>453</v>
      </c>
      <c r="U163" s="82" t="s">
        <v>453</v>
      </c>
      <c r="V163" t="s">
        <v>453</v>
      </c>
      <c r="W163" t="s">
        <v>453</v>
      </c>
      <c r="X163" s="6"/>
      <c r="Y163" t="s">
        <v>347</v>
      </c>
      <c r="Z163"/>
      <c r="AA163"/>
      <c r="AB163"/>
      <c r="AC163"/>
      <c r="AD163" t="s">
        <v>354</v>
      </c>
      <c r="AE163"/>
    </row>
    <row r="164" spans="2:31" ht="14.25" customHeight="1" x14ac:dyDescent="0.25">
      <c r="B164" s="117" t="s">
        <v>347</v>
      </c>
      <c r="C164" s="128" t="s">
        <v>851</v>
      </c>
      <c r="D164" s="205" t="s">
        <v>815</v>
      </c>
      <c r="E164" s="149"/>
      <c r="F164" s="150"/>
      <c r="G164"/>
      <c r="H164"/>
      <c r="I164"/>
      <c r="J164"/>
      <c r="K164" s="179" t="s">
        <v>354</v>
      </c>
      <c r="L164" s="187"/>
      <c r="M164" s="128" t="s">
        <v>851</v>
      </c>
      <c r="N164" s="205" t="s">
        <v>815</v>
      </c>
      <c r="O164" s="149"/>
      <c r="P164" s="150"/>
      <c r="Q164"/>
      <c r="R164" s="8"/>
      <c r="S164" s="8"/>
      <c r="T164" s="69" t="s">
        <v>453</v>
      </c>
      <c r="U164" s="83" t="s">
        <v>453</v>
      </c>
      <c r="V164" t="s">
        <v>453</v>
      </c>
      <c r="W164" t="e">
        <f>INDEX('Country Code LU'!$B$2:$B$250,MATCH('Priority Manifest'!$K165,'Country Code LU'!$A$2:$A$250,0))</f>
        <v>#N/A</v>
      </c>
      <c r="X164" s="6"/>
      <c r="Y164" t="s">
        <v>351</v>
      </c>
      <c r="Z164"/>
      <c r="AA164"/>
      <c r="AB164"/>
      <c r="AC164"/>
      <c r="AD164" t="s">
        <v>358</v>
      </c>
      <c r="AE164"/>
    </row>
    <row r="165" spans="2:31" ht="14.25" customHeight="1" x14ac:dyDescent="0.25">
      <c r="B165" s="158" t="s">
        <v>351</v>
      </c>
      <c r="C165" s="128" t="s">
        <v>21</v>
      </c>
      <c r="D165" s="205" t="s">
        <v>815</v>
      </c>
      <c r="E165" s="146"/>
      <c r="F165" s="151"/>
      <c r="G165"/>
      <c r="H165"/>
      <c r="I165"/>
      <c r="J165"/>
      <c r="K165" s="181" t="s">
        <v>846</v>
      </c>
      <c r="L165" s="186"/>
      <c r="M165" s="128" t="s">
        <v>851</v>
      </c>
      <c r="N165" s="205" t="s">
        <v>815</v>
      </c>
      <c r="O165" s="146"/>
      <c r="P165" s="151"/>
      <c r="Q165"/>
      <c r="R165" s="8"/>
      <c r="S165" s="8"/>
      <c r="T165" s="69" t="s">
        <v>453</v>
      </c>
      <c r="U165" s="83" t="s">
        <v>453</v>
      </c>
      <c r="V165" t="s">
        <v>453</v>
      </c>
      <c r="W165" t="str">
        <f>INDEX('Country Code LU'!$B$2:$B$250,MATCH('Priority Manifest'!$K166,'Country Code LU'!$A$2:$A$250,0))</f>
        <v>TH</v>
      </c>
      <c r="X165" s="6"/>
      <c r="Y165" t="s">
        <v>353</v>
      </c>
      <c r="Z165"/>
      <c r="AA165"/>
      <c r="AB165"/>
      <c r="AC165"/>
      <c r="AD165" t="s">
        <v>362</v>
      </c>
      <c r="AE165"/>
    </row>
    <row r="166" spans="2:31" ht="14.25" customHeight="1" x14ac:dyDescent="0.25">
      <c r="B166" s="158" t="s">
        <v>839</v>
      </c>
      <c r="C166" s="128" t="s">
        <v>851</v>
      </c>
      <c r="D166" s="205" t="s">
        <v>815</v>
      </c>
      <c r="E166" s="146"/>
      <c r="F166" s="151"/>
      <c r="G166"/>
      <c r="H166"/>
      <c r="I166"/>
      <c r="J166"/>
      <c r="K166" s="181" t="s">
        <v>362</v>
      </c>
      <c r="L166" s="186"/>
      <c r="M166" s="128" t="s">
        <v>851</v>
      </c>
      <c r="N166" s="205" t="s">
        <v>815</v>
      </c>
      <c r="O166" s="146"/>
      <c r="P166" s="151"/>
      <c r="Q166"/>
      <c r="R166" s="8"/>
      <c r="S166" s="8"/>
      <c r="T166" s="69" t="s">
        <v>453</v>
      </c>
      <c r="U166" s="83" t="s">
        <v>453</v>
      </c>
      <c r="V166" t="s">
        <v>453</v>
      </c>
      <c r="W166" t="s">
        <v>453</v>
      </c>
      <c r="X166" s="6"/>
      <c r="Y166" t="s">
        <v>357</v>
      </c>
      <c r="Z166"/>
      <c r="AA166"/>
      <c r="AB166"/>
      <c r="AC166"/>
      <c r="AD166" t="s">
        <v>366</v>
      </c>
      <c r="AE166"/>
    </row>
    <row r="167" spans="2:31" ht="14.25" customHeight="1" x14ac:dyDescent="0.25">
      <c r="B167" s="158" t="s">
        <v>357</v>
      </c>
      <c r="C167" s="128" t="s">
        <v>851</v>
      </c>
      <c r="D167" s="205" t="s">
        <v>815</v>
      </c>
      <c r="E167" s="146"/>
      <c r="F167" s="151"/>
      <c r="G167"/>
      <c r="H167"/>
      <c r="I167"/>
      <c r="J167"/>
      <c r="K167" s="181" t="s">
        <v>826</v>
      </c>
      <c r="L167" s="186"/>
      <c r="M167" s="128" t="s">
        <v>851</v>
      </c>
      <c r="N167" s="205" t="s">
        <v>815</v>
      </c>
      <c r="O167" s="146"/>
      <c r="P167" s="151"/>
      <c r="Q167"/>
      <c r="R167" s="8"/>
      <c r="S167" s="8"/>
      <c r="T167" s="69" t="s">
        <v>453</v>
      </c>
      <c r="U167" s="83" t="s">
        <v>453</v>
      </c>
      <c r="V167" t="s">
        <v>453</v>
      </c>
      <c r="W167" t="s">
        <v>453</v>
      </c>
      <c r="X167" s="6"/>
      <c r="Y167" t="s">
        <v>361</v>
      </c>
      <c r="Z167"/>
      <c r="AA167"/>
      <c r="AB167"/>
      <c r="AC167"/>
      <c r="AD167" t="s">
        <v>370</v>
      </c>
      <c r="AE167"/>
    </row>
    <row r="168" spans="2:31" ht="14.25" customHeight="1" x14ac:dyDescent="0.25">
      <c r="B168" s="158" t="s">
        <v>361</v>
      </c>
      <c r="C168" s="128" t="s">
        <v>851</v>
      </c>
      <c r="D168" s="205" t="s">
        <v>815</v>
      </c>
      <c r="E168" s="146"/>
      <c r="F168" s="151"/>
      <c r="G168"/>
      <c r="H168"/>
      <c r="I168"/>
      <c r="J168"/>
      <c r="K168" s="181" t="s">
        <v>366</v>
      </c>
      <c r="L168" s="186"/>
      <c r="M168" s="128" t="s">
        <v>851</v>
      </c>
      <c r="N168" s="205" t="s">
        <v>815</v>
      </c>
      <c r="O168" s="146"/>
      <c r="P168" s="151"/>
      <c r="Q168"/>
      <c r="R168" s="8"/>
      <c r="S168" s="8"/>
      <c r="T168" s="69" t="s">
        <v>453</v>
      </c>
      <c r="U168" s="83" t="s">
        <v>453</v>
      </c>
      <c r="V168" t="s">
        <v>453</v>
      </c>
      <c r="W168" t="s">
        <v>453</v>
      </c>
      <c r="X168" s="6"/>
      <c r="Y168" t="s">
        <v>365</v>
      </c>
      <c r="Z168"/>
      <c r="AA168"/>
      <c r="AB168"/>
      <c r="AC168"/>
      <c r="AD168" t="s">
        <v>374</v>
      </c>
      <c r="AE168"/>
    </row>
    <row r="169" spans="2:31" ht="14.25" customHeight="1" x14ac:dyDescent="0.25">
      <c r="B169" s="158" t="s">
        <v>365</v>
      </c>
      <c r="C169" s="128" t="s">
        <v>851</v>
      </c>
      <c r="D169" s="205" t="s">
        <v>815</v>
      </c>
      <c r="E169" s="146"/>
      <c r="F169" s="151"/>
      <c r="G169"/>
      <c r="H169"/>
      <c r="I169"/>
      <c r="J169"/>
      <c r="K169" s="181" t="s">
        <v>370</v>
      </c>
      <c r="L169" s="186"/>
      <c r="M169" s="128" t="s">
        <v>21</v>
      </c>
      <c r="N169" s="205" t="s">
        <v>815</v>
      </c>
      <c r="O169" s="146"/>
      <c r="P169" s="151"/>
      <c r="Q169"/>
      <c r="R169" s="8"/>
      <c r="S169" s="8"/>
      <c r="T169" s="69" t="s">
        <v>453</v>
      </c>
      <c r="U169" s="83" t="s">
        <v>453</v>
      </c>
      <c r="V169" t="s">
        <v>453</v>
      </c>
      <c r="W169" t="s">
        <v>453</v>
      </c>
      <c r="X169" s="6"/>
      <c r="Y169" t="s">
        <v>369</v>
      </c>
      <c r="Z169"/>
      <c r="AA169"/>
      <c r="AB169"/>
      <c r="AC169"/>
      <c r="AD169" t="s">
        <v>378</v>
      </c>
      <c r="AE169"/>
    </row>
    <row r="170" spans="2:31" ht="14.25" customHeight="1" x14ac:dyDescent="0.25">
      <c r="B170" s="158" t="s">
        <v>369</v>
      </c>
      <c r="C170" s="128" t="s">
        <v>851</v>
      </c>
      <c r="D170" s="205" t="s">
        <v>815</v>
      </c>
      <c r="E170" s="146"/>
      <c r="F170" s="151"/>
      <c r="G170"/>
      <c r="H170"/>
      <c r="I170"/>
      <c r="J170"/>
      <c r="K170" s="181" t="s">
        <v>374</v>
      </c>
      <c r="L170" s="186"/>
      <c r="M170" s="128" t="s">
        <v>851</v>
      </c>
      <c r="N170" s="205" t="s">
        <v>815</v>
      </c>
      <c r="O170" s="146"/>
      <c r="P170" s="151"/>
      <c r="Q170"/>
      <c r="R170" s="8"/>
      <c r="S170" s="8"/>
      <c r="T170" s="69" t="s">
        <v>453</v>
      </c>
      <c r="U170" s="83" t="s">
        <v>453</v>
      </c>
      <c r="V170" t="str">
        <f>INDEX('Country Code LU'!$B$2:$B$250,MATCH('Priority Manifest'!$B171,'Country Code LU'!$A$2:$A$250,0))</f>
        <v>PH</v>
      </c>
      <c r="W170" t="s">
        <v>453</v>
      </c>
      <c r="X170" s="6"/>
      <c r="Y170" t="s">
        <v>373</v>
      </c>
      <c r="Z170"/>
      <c r="AA170"/>
      <c r="AB170"/>
      <c r="AC170"/>
      <c r="AD170" t="s">
        <v>382</v>
      </c>
      <c r="AE170"/>
    </row>
    <row r="171" spans="2:31" ht="14.25" customHeight="1" x14ac:dyDescent="0.25">
      <c r="B171" s="158" t="s">
        <v>373</v>
      </c>
      <c r="C171" s="128" t="s">
        <v>851</v>
      </c>
      <c r="D171" s="205" t="s">
        <v>815</v>
      </c>
      <c r="E171" s="146"/>
      <c r="F171" s="151"/>
      <c r="G171"/>
      <c r="H171"/>
      <c r="I171"/>
      <c r="J171"/>
      <c r="K171" s="181" t="s">
        <v>378</v>
      </c>
      <c r="L171" s="186"/>
      <c r="M171" s="128" t="s">
        <v>851</v>
      </c>
      <c r="N171" s="205" t="s">
        <v>815</v>
      </c>
      <c r="O171" s="146"/>
      <c r="P171" s="151"/>
      <c r="Q171"/>
      <c r="R171" s="8"/>
      <c r="S171" s="8"/>
      <c r="T171" s="69" t="s">
        <v>453</v>
      </c>
      <c r="U171" s="83" t="s">
        <v>453</v>
      </c>
      <c r="V171" t="s">
        <v>453</v>
      </c>
      <c r="W171" t="str">
        <f>INDEX('Country Code LU'!$B$2:$B$250,MATCH('Priority Manifest'!$K173,'Country Code LU'!$A$2:$A$250,0))</f>
        <v>TR</v>
      </c>
      <c r="X171" s="6"/>
      <c r="Y171" t="s">
        <v>377</v>
      </c>
      <c r="Z171"/>
      <c r="AA171"/>
      <c r="AB171"/>
      <c r="AC171"/>
      <c r="AD171" t="s">
        <v>386</v>
      </c>
      <c r="AE171"/>
    </row>
    <row r="172" spans="2:31" ht="14.25" customHeight="1" x14ac:dyDescent="0.25">
      <c r="B172" s="158" t="s">
        <v>381</v>
      </c>
      <c r="C172" s="128" t="s">
        <v>21</v>
      </c>
      <c r="D172" s="205" t="s">
        <v>815</v>
      </c>
      <c r="E172" s="146"/>
      <c r="F172" s="151"/>
      <c r="G172"/>
      <c r="H172"/>
      <c r="I172"/>
      <c r="J172"/>
      <c r="K172" s="181" t="s">
        <v>382</v>
      </c>
      <c r="L172" s="186"/>
      <c r="M172" s="128" t="s">
        <v>851</v>
      </c>
      <c r="N172" s="206" t="s">
        <v>816</v>
      </c>
      <c r="O172" s="146"/>
      <c r="P172" s="151"/>
      <c r="Q172"/>
      <c r="R172" s="8"/>
      <c r="S172" s="8"/>
      <c r="T172" s="69" t="s">
        <v>453</v>
      </c>
      <c r="U172" s="83" t="s">
        <v>453</v>
      </c>
      <c r="V172" t="s">
        <v>453</v>
      </c>
      <c r="W172" t="s">
        <v>453</v>
      </c>
      <c r="X172" s="6"/>
      <c r="Y172" t="s">
        <v>381</v>
      </c>
      <c r="Z172"/>
      <c r="AA172"/>
      <c r="AB172"/>
      <c r="AC172"/>
      <c r="AD172" t="s">
        <v>390</v>
      </c>
      <c r="AE172"/>
    </row>
    <row r="173" spans="2:31" ht="14.25" customHeight="1" x14ac:dyDescent="0.25">
      <c r="B173" s="158" t="s">
        <v>385</v>
      </c>
      <c r="C173" s="128" t="s">
        <v>851</v>
      </c>
      <c r="D173" s="205" t="s">
        <v>815</v>
      </c>
      <c r="E173" s="146"/>
      <c r="F173" s="151"/>
      <c r="G173"/>
      <c r="H173"/>
      <c r="I173"/>
      <c r="J173"/>
      <c r="K173" s="181" t="s">
        <v>386</v>
      </c>
      <c r="L173" s="186"/>
      <c r="M173" s="128" t="s">
        <v>851</v>
      </c>
      <c r="N173" s="206" t="s">
        <v>816</v>
      </c>
      <c r="O173" s="146"/>
      <c r="P173" s="151"/>
      <c r="Q173"/>
      <c r="R173" s="8"/>
      <c r="S173" s="8"/>
      <c r="T173" s="69" t="s">
        <v>453</v>
      </c>
      <c r="U173" s="83" t="s">
        <v>453</v>
      </c>
      <c r="V173" t="str">
        <f>INDEX('Country Code LU'!$B$2:$B$250,MATCH('Priority Manifest'!$B173,'Country Code LU'!$A$2:$A$250,0))</f>
        <v>QA</v>
      </c>
      <c r="W173" t="s">
        <v>453</v>
      </c>
      <c r="X173" s="6"/>
      <c r="Y173" t="s">
        <v>385</v>
      </c>
      <c r="Z173"/>
      <c r="AA173"/>
      <c r="AB173"/>
      <c r="AC173"/>
      <c r="AD173" t="s">
        <v>482</v>
      </c>
      <c r="AE173"/>
    </row>
    <row r="174" spans="2:31" ht="14.25" customHeight="1" x14ac:dyDescent="0.25">
      <c r="B174" s="158" t="s">
        <v>840</v>
      </c>
      <c r="C174" s="110" t="s">
        <v>21</v>
      </c>
      <c r="D174" s="205" t="s">
        <v>815</v>
      </c>
      <c r="E174" s="146"/>
      <c r="F174" s="151"/>
      <c r="G174"/>
      <c r="H174"/>
      <c r="I174"/>
      <c r="J174"/>
      <c r="K174" s="181" t="s">
        <v>390</v>
      </c>
      <c r="L174" s="186"/>
      <c r="M174" s="128" t="s">
        <v>851</v>
      </c>
      <c r="N174" s="205" t="s">
        <v>815</v>
      </c>
      <c r="O174" s="146"/>
      <c r="P174" s="151"/>
      <c r="Q174"/>
      <c r="R174" s="8"/>
      <c r="S174" s="8"/>
      <c r="T174" s="69" t="s">
        <v>453</v>
      </c>
      <c r="U174" s="83" t="s">
        <v>453</v>
      </c>
      <c r="V174" t="s">
        <v>453</v>
      </c>
      <c r="W174" t="s">
        <v>453</v>
      </c>
      <c r="X174" s="6"/>
      <c r="Y174" t="s">
        <v>389</v>
      </c>
      <c r="Z174"/>
      <c r="AA174"/>
      <c r="AB174"/>
      <c r="AC174"/>
      <c r="AD174" t="s">
        <v>397</v>
      </c>
      <c r="AE174"/>
    </row>
    <row r="175" spans="2:31" ht="14.25" customHeight="1" x14ac:dyDescent="0.25">
      <c r="B175" s="158" t="s">
        <v>393</v>
      </c>
      <c r="C175" s="128" t="s">
        <v>851</v>
      </c>
      <c r="D175" s="205" t="s">
        <v>815</v>
      </c>
      <c r="E175" s="146"/>
      <c r="F175" s="151"/>
      <c r="G175"/>
      <c r="H175"/>
      <c r="I175"/>
      <c r="J175"/>
      <c r="K175" s="181" t="s">
        <v>482</v>
      </c>
      <c r="L175" s="186"/>
      <c r="M175" s="128" t="s">
        <v>21</v>
      </c>
      <c r="N175" s="205" t="s">
        <v>815</v>
      </c>
      <c r="O175" s="146"/>
      <c r="P175" s="151"/>
      <c r="Q175"/>
      <c r="R175" s="8"/>
      <c r="S175" s="8"/>
      <c r="T175" s="69" t="s">
        <v>453</v>
      </c>
      <c r="U175" s="83" t="s">
        <v>453</v>
      </c>
      <c r="V175" t="s">
        <v>453</v>
      </c>
      <c r="W175" t="s">
        <v>453</v>
      </c>
      <c r="X175" s="6"/>
      <c r="Y175" t="s">
        <v>393</v>
      </c>
      <c r="Z175"/>
      <c r="AA175"/>
      <c r="AB175"/>
      <c r="AC175"/>
      <c r="AD175" t="s">
        <v>401</v>
      </c>
      <c r="AE175"/>
    </row>
    <row r="176" spans="2:31" ht="14.25" customHeight="1" x14ac:dyDescent="0.25">
      <c r="B176" s="158" t="s">
        <v>396</v>
      </c>
      <c r="C176" s="128" t="s">
        <v>21</v>
      </c>
      <c r="D176" s="205" t="s">
        <v>815</v>
      </c>
      <c r="E176" s="146"/>
      <c r="F176" s="151"/>
      <c r="G176"/>
      <c r="H176"/>
      <c r="I176"/>
      <c r="J176"/>
      <c r="K176" s="181" t="s">
        <v>397</v>
      </c>
      <c r="L176" s="186"/>
      <c r="M176" s="128" t="s">
        <v>851</v>
      </c>
      <c r="N176" s="205" t="s">
        <v>815</v>
      </c>
      <c r="O176" s="146"/>
      <c r="P176" s="151"/>
      <c r="Q176"/>
      <c r="R176" s="8"/>
      <c r="S176" s="8"/>
      <c r="T176" s="69" t="s">
        <v>453</v>
      </c>
      <c r="U176" s="83" t="s">
        <v>453</v>
      </c>
      <c r="V176" t="s">
        <v>453</v>
      </c>
      <c r="W176" t="str">
        <f>INDEX('Country Code LU'!$B$2:$B$250,MATCH('Priority Manifest'!$K178,'Country Code LU'!$A$2:$A$250,0))</f>
        <v>UA</v>
      </c>
      <c r="X176" s="6"/>
      <c r="Y176" t="s">
        <v>396</v>
      </c>
      <c r="Z176"/>
      <c r="AA176"/>
      <c r="AB176"/>
      <c r="AC176"/>
      <c r="AD176" t="s">
        <v>405</v>
      </c>
      <c r="AE176"/>
    </row>
    <row r="177" spans="2:31" ht="14.25" customHeight="1" x14ac:dyDescent="0.25">
      <c r="B177" s="158" t="s">
        <v>841</v>
      </c>
      <c r="C177" s="128" t="s">
        <v>21</v>
      </c>
      <c r="D177" s="205" t="s">
        <v>815</v>
      </c>
      <c r="E177" s="146"/>
      <c r="F177" s="151"/>
      <c r="G177"/>
      <c r="H177" s="8"/>
      <c r="I177" s="8"/>
      <c r="J177" s="8"/>
      <c r="K177" s="181" t="s">
        <v>401</v>
      </c>
      <c r="L177" s="186"/>
      <c r="M177" s="128" t="s">
        <v>851</v>
      </c>
      <c r="N177" s="205" t="s">
        <v>815</v>
      </c>
      <c r="O177" s="146"/>
      <c r="P177" s="151"/>
      <c r="Q177"/>
      <c r="R177" s="8"/>
      <c r="S177" s="8"/>
      <c r="T177" s="69" t="s">
        <v>453</v>
      </c>
      <c r="U177" s="83" t="s">
        <v>453</v>
      </c>
      <c r="V177" t="s">
        <v>453</v>
      </c>
      <c r="W177" t="str">
        <f>INDEX('Country Code LU'!$B$2:$B$250,MATCH('Priority Manifest'!$K179,'Country Code LU'!$A$2:$A$250,0))</f>
        <v>AE</v>
      </c>
      <c r="X177" s="6"/>
      <c r="Y177" t="s">
        <v>400</v>
      </c>
      <c r="Z177"/>
      <c r="AA177"/>
      <c r="AB177"/>
      <c r="AC177"/>
      <c r="AD177" t="s">
        <v>409</v>
      </c>
      <c r="AE177"/>
    </row>
    <row r="178" spans="2:31" ht="14.25" customHeight="1" x14ac:dyDescent="0.25">
      <c r="B178" s="158" t="s">
        <v>404</v>
      </c>
      <c r="C178" s="128" t="s">
        <v>851</v>
      </c>
      <c r="D178" s="205" t="s">
        <v>815</v>
      </c>
      <c r="E178" s="146"/>
      <c r="F178" s="151"/>
      <c r="G178"/>
      <c r="H178" s="8"/>
      <c r="I178" s="8"/>
      <c r="J178" s="8"/>
      <c r="K178" s="181" t="s">
        <v>405</v>
      </c>
      <c r="L178" s="186"/>
      <c r="M178" s="128" t="s">
        <v>851</v>
      </c>
      <c r="N178" s="205" t="s">
        <v>815</v>
      </c>
      <c r="O178" s="146"/>
      <c r="P178" s="151"/>
      <c r="Q178"/>
      <c r="R178" s="8"/>
      <c r="S178" s="8"/>
      <c r="T178" s="69" t="s">
        <v>453</v>
      </c>
      <c r="U178" s="83" t="s">
        <v>453</v>
      </c>
      <c r="V178" t="s">
        <v>453</v>
      </c>
      <c r="W178" t="s">
        <v>453</v>
      </c>
      <c r="X178" s="6"/>
      <c r="Y178" t="s">
        <v>404</v>
      </c>
      <c r="Z178"/>
      <c r="AA178"/>
      <c r="AB178"/>
      <c r="AC178"/>
      <c r="AD178" t="s">
        <v>413</v>
      </c>
      <c r="AE178"/>
    </row>
    <row r="179" spans="2:31" ht="14.25" customHeight="1" x14ac:dyDescent="0.25">
      <c r="B179" s="158" t="s">
        <v>408</v>
      </c>
      <c r="C179" s="128" t="s">
        <v>851</v>
      </c>
      <c r="D179" s="205" t="s">
        <v>815</v>
      </c>
      <c r="E179" s="146"/>
      <c r="F179" s="151"/>
      <c r="G179"/>
      <c r="H179" s="8"/>
      <c r="I179" s="8"/>
      <c r="J179" s="8"/>
      <c r="K179" s="181" t="s">
        <v>409</v>
      </c>
      <c r="L179" s="186"/>
      <c r="M179" s="128" t="s">
        <v>851</v>
      </c>
      <c r="N179" s="205" t="s">
        <v>815</v>
      </c>
      <c r="O179" s="146"/>
      <c r="P179" s="151"/>
      <c r="Q179"/>
      <c r="R179" s="8"/>
      <c r="S179" s="8"/>
      <c r="T179" s="69" t="s">
        <v>453</v>
      </c>
      <c r="U179" s="83" t="s">
        <v>453</v>
      </c>
      <c r="V179" t="s">
        <v>453</v>
      </c>
      <c r="W179" t="s">
        <v>453</v>
      </c>
      <c r="X179" s="6"/>
      <c r="Y179" t="s">
        <v>408</v>
      </c>
      <c r="Z179"/>
      <c r="AA179"/>
      <c r="AB179"/>
      <c r="AC179"/>
      <c r="AD179" t="s">
        <v>417</v>
      </c>
      <c r="AE179"/>
    </row>
    <row r="180" spans="2:31" ht="14.25" customHeight="1" x14ac:dyDescent="0.25">
      <c r="B180" s="158" t="s">
        <v>842</v>
      </c>
      <c r="C180" s="128" t="s">
        <v>21</v>
      </c>
      <c r="D180" s="205" t="s">
        <v>815</v>
      </c>
      <c r="E180" s="146"/>
      <c r="F180" s="151"/>
      <c r="G180"/>
      <c r="H180" s="8"/>
      <c r="I180" s="8"/>
      <c r="J180" s="8"/>
      <c r="K180" s="181" t="s">
        <v>805</v>
      </c>
      <c r="L180" s="186"/>
      <c r="M180" s="128" t="s">
        <v>851</v>
      </c>
      <c r="N180" s="205" t="s">
        <v>815</v>
      </c>
      <c r="O180" s="146"/>
      <c r="P180" s="151"/>
      <c r="Q180"/>
      <c r="R180" s="8"/>
      <c r="S180" s="8"/>
      <c r="T180" s="69" t="s">
        <v>453</v>
      </c>
      <c r="U180" s="83" t="s">
        <v>453</v>
      </c>
      <c r="V180" t="s">
        <v>453</v>
      </c>
      <c r="W180" t="s">
        <v>453</v>
      </c>
      <c r="X180" s="6"/>
      <c r="Y180" t="s">
        <v>412</v>
      </c>
      <c r="Z180"/>
      <c r="AA180"/>
      <c r="AB180"/>
      <c r="AC180"/>
      <c r="AD180" t="s">
        <v>421</v>
      </c>
      <c r="AE180"/>
    </row>
    <row r="181" spans="2:31" ht="14.25" customHeight="1" x14ac:dyDescent="0.25">
      <c r="B181" s="158" t="s">
        <v>843</v>
      </c>
      <c r="C181" s="128" t="s">
        <v>21</v>
      </c>
      <c r="D181" s="205" t="s">
        <v>815</v>
      </c>
      <c r="E181" s="146"/>
      <c r="F181" s="151"/>
      <c r="G181"/>
      <c r="H181" s="8"/>
      <c r="I181" s="8"/>
      <c r="J181" s="8"/>
      <c r="K181" s="181" t="s">
        <v>413</v>
      </c>
      <c r="L181" s="186"/>
      <c r="M181" s="128" t="s">
        <v>851</v>
      </c>
      <c r="N181" s="205" t="s">
        <v>815</v>
      </c>
      <c r="O181" s="146"/>
      <c r="P181" s="151"/>
      <c r="Q181"/>
      <c r="R181" s="8"/>
      <c r="S181" s="8"/>
      <c r="T181" s="69" t="s">
        <v>453</v>
      </c>
      <c r="U181" s="83" t="s">
        <v>453</v>
      </c>
      <c r="V181" t="s">
        <v>453</v>
      </c>
      <c r="W181" t="s">
        <v>453</v>
      </c>
      <c r="X181" s="6"/>
      <c r="Y181" t="s">
        <v>416</v>
      </c>
      <c r="Z181"/>
      <c r="AA181"/>
      <c r="AB181"/>
      <c r="AC181"/>
      <c r="AD181" t="s">
        <v>425</v>
      </c>
      <c r="AE181"/>
    </row>
    <row r="182" spans="2:31" ht="14.25" customHeight="1" x14ac:dyDescent="0.25">
      <c r="B182" s="158" t="s">
        <v>844</v>
      </c>
      <c r="C182" s="128" t="s">
        <v>851</v>
      </c>
      <c r="D182" s="205" t="s">
        <v>815</v>
      </c>
      <c r="E182" s="146"/>
      <c r="F182" s="151"/>
      <c r="G182"/>
      <c r="H182" s="8"/>
      <c r="I182" s="8"/>
      <c r="J182" s="8"/>
      <c r="K182" s="181" t="s">
        <v>417</v>
      </c>
      <c r="L182" s="186"/>
      <c r="M182" s="128" t="s">
        <v>851</v>
      </c>
      <c r="N182" s="205" t="s">
        <v>815</v>
      </c>
      <c r="O182" s="146"/>
      <c r="P182" s="151"/>
      <c r="Q182"/>
      <c r="R182" s="8"/>
      <c r="S182" s="8"/>
      <c r="T182" s="69" t="s">
        <v>453</v>
      </c>
      <c r="U182" s="83" t="s">
        <v>453</v>
      </c>
      <c r="V182" t="s">
        <v>453</v>
      </c>
      <c r="W182" t="s">
        <v>453</v>
      </c>
      <c r="X182" s="6"/>
      <c r="Y182" t="s">
        <v>420</v>
      </c>
      <c r="Z182"/>
      <c r="AA182"/>
      <c r="AB182"/>
      <c r="AC182"/>
      <c r="AD182" t="s">
        <v>428</v>
      </c>
      <c r="AE182"/>
    </row>
    <row r="183" spans="2:31" ht="14.25" customHeight="1" x14ac:dyDescent="0.25">
      <c r="B183" s="158" t="s">
        <v>424</v>
      </c>
      <c r="C183" s="128" t="s">
        <v>851</v>
      </c>
      <c r="D183" s="205" t="s">
        <v>815</v>
      </c>
      <c r="E183" s="146"/>
      <c r="F183" s="151"/>
      <c r="G183"/>
      <c r="H183" s="8"/>
      <c r="I183" s="8"/>
      <c r="J183" s="8"/>
      <c r="K183" s="181" t="s">
        <v>421</v>
      </c>
      <c r="L183" s="186"/>
      <c r="M183" s="128" t="s">
        <v>851</v>
      </c>
      <c r="N183" s="205" t="s">
        <v>815</v>
      </c>
      <c r="O183" s="146"/>
      <c r="P183" s="151"/>
      <c r="Q183"/>
      <c r="R183" s="8"/>
      <c r="S183" s="8"/>
      <c r="T183" s="69" t="s">
        <v>453</v>
      </c>
      <c r="U183" s="83" t="s">
        <v>453</v>
      </c>
      <c r="V183" t="s">
        <v>453</v>
      </c>
      <c r="W183" t="s">
        <v>453</v>
      </c>
      <c r="X183" s="6"/>
      <c r="Y183" t="s">
        <v>424</v>
      </c>
      <c r="Z183"/>
      <c r="AA183"/>
      <c r="AB183"/>
      <c r="AC183"/>
      <c r="AD183" t="s">
        <v>431</v>
      </c>
      <c r="AE183"/>
    </row>
    <row r="184" spans="2:31" ht="14.25" customHeight="1" x14ac:dyDescent="0.25">
      <c r="B184" s="158" t="s">
        <v>479</v>
      </c>
      <c r="C184" s="128" t="s">
        <v>21</v>
      </c>
      <c r="D184" s="205" t="s">
        <v>815</v>
      </c>
      <c r="E184" s="146"/>
      <c r="F184" s="151"/>
      <c r="G184"/>
      <c r="H184" s="8"/>
      <c r="I184" s="8"/>
      <c r="J184" s="8"/>
      <c r="K184" s="181" t="s">
        <v>847</v>
      </c>
      <c r="L184" s="186"/>
      <c r="M184" s="128" t="s">
        <v>851</v>
      </c>
      <c r="N184" s="205" t="s">
        <v>815</v>
      </c>
      <c r="O184" s="146"/>
      <c r="P184" s="151"/>
      <c r="Q184"/>
      <c r="R184" s="8"/>
      <c r="S184" s="8"/>
      <c r="T184" s="69" t="s">
        <v>453</v>
      </c>
      <c r="U184" s="83" t="s">
        <v>453</v>
      </c>
      <c r="V184" t="s">
        <v>453</v>
      </c>
      <c r="W184" t="s">
        <v>453</v>
      </c>
      <c r="X184" s="6"/>
      <c r="Y184" t="s">
        <v>479</v>
      </c>
      <c r="Z184"/>
      <c r="AA184"/>
      <c r="AB184"/>
      <c r="AC184"/>
      <c r="AD184" t="s">
        <v>434</v>
      </c>
      <c r="AE184"/>
    </row>
    <row r="185" spans="2:31" ht="14.25" customHeight="1" x14ac:dyDescent="0.25">
      <c r="B185" s="158" t="s">
        <v>427</v>
      </c>
      <c r="C185" s="128" t="s">
        <v>851</v>
      </c>
      <c r="D185" s="205" t="s">
        <v>815</v>
      </c>
      <c r="E185" s="146"/>
      <c r="F185" s="151"/>
      <c r="G185"/>
      <c r="H185" s="8"/>
      <c r="I185" s="8"/>
      <c r="J185" s="8"/>
      <c r="K185" s="181" t="s">
        <v>848</v>
      </c>
      <c r="L185" s="186"/>
      <c r="M185" s="128" t="s">
        <v>851</v>
      </c>
      <c r="N185" s="205" t="s">
        <v>815</v>
      </c>
      <c r="O185" s="146"/>
      <c r="P185" s="151"/>
      <c r="Q185"/>
      <c r="R185" s="8"/>
      <c r="S185" s="8"/>
      <c r="T185" s="69" t="s">
        <v>453</v>
      </c>
      <c r="U185" s="83" t="s">
        <v>453</v>
      </c>
      <c r="V185" t="s">
        <v>453</v>
      </c>
      <c r="W185" t="s">
        <v>453</v>
      </c>
      <c r="X185" s="6"/>
      <c r="Y185" t="s">
        <v>427</v>
      </c>
      <c r="Z185"/>
      <c r="AA185"/>
      <c r="AB185"/>
      <c r="AC185"/>
      <c r="AD185" t="s">
        <v>437</v>
      </c>
      <c r="AE185"/>
    </row>
    <row r="186" spans="2:31" ht="14.25" customHeight="1" x14ac:dyDescent="0.25">
      <c r="B186" s="158" t="s">
        <v>430</v>
      </c>
      <c r="C186" s="110" t="s">
        <v>21</v>
      </c>
      <c r="D186" s="205" t="s">
        <v>815</v>
      </c>
      <c r="E186" s="146"/>
      <c r="F186" s="151"/>
      <c r="G186"/>
      <c r="H186" s="8"/>
      <c r="I186" s="8"/>
      <c r="J186" s="8"/>
      <c r="K186" s="181" t="s">
        <v>849</v>
      </c>
      <c r="L186" s="186"/>
      <c r="M186" s="128" t="s">
        <v>21</v>
      </c>
      <c r="N186" s="205" t="s">
        <v>815</v>
      </c>
      <c r="O186" s="146"/>
      <c r="P186" s="151"/>
      <c r="Q186"/>
      <c r="R186" s="8"/>
      <c r="S186" s="8"/>
      <c r="T186" s="69" t="s">
        <v>453</v>
      </c>
      <c r="U186" s="83" t="s">
        <v>453</v>
      </c>
      <c r="V186" t="s">
        <v>453</v>
      </c>
      <c r="W186" t="s">
        <v>453</v>
      </c>
      <c r="X186" s="6"/>
      <c r="Y186" t="s">
        <v>430</v>
      </c>
      <c r="Z186"/>
      <c r="AA186"/>
      <c r="AB186"/>
      <c r="AC186"/>
      <c r="AD186" t="s">
        <v>789</v>
      </c>
      <c r="AE186"/>
    </row>
    <row r="187" spans="2:31" ht="14.25" customHeight="1" x14ac:dyDescent="0.25">
      <c r="B187" s="158" t="s">
        <v>433</v>
      </c>
      <c r="C187" s="128" t="s">
        <v>851</v>
      </c>
      <c r="D187" s="205" t="s">
        <v>815</v>
      </c>
      <c r="E187" s="146"/>
      <c r="F187" s="151"/>
      <c r="G187"/>
      <c r="H187" s="8"/>
      <c r="I187" s="8"/>
      <c r="J187" s="8"/>
      <c r="K187" s="181" t="s">
        <v>442</v>
      </c>
      <c r="L187" s="186"/>
      <c r="M187" s="128" t="s">
        <v>851</v>
      </c>
      <c r="N187" s="206" t="s">
        <v>816</v>
      </c>
      <c r="O187" s="146"/>
      <c r="P187" s="151"/>
      <c r="Q187"/>
      <c r="R187" s="8"/>
      <c r="S187" s="8"/>
      <c r="T187" s="69" t="s">
        <v>453</v>
      </c>
      <c r="U187" s="83" t="s">
        <v>453</v>
      </c>
      <c r="V187" t="s">
        <v>453</v>
      </c>
      <c r="W187" t="s">
        <v>453</v>
      </c>
      <c r="X187" s="6"/>
      <c r="Y187" t="s">
        <v>433</v>
      </c>
      <c r="Z187"/>
      <c r="AA187"/>
      <c r="AB187"/>
      <c r="AC187"/>
      <c r="AD187" t="s">
        <v>442</v>
      </c>
      <c r="AE187"/>
    </row>
    <row r="188" spans="2:31" ht="14.25" customHeight="1" x14ac:dyDescent="0.25">
      <c r="B188" s="158" t="s">
        <v>436</v>
      </c>
      <c r="C188" s="128" t="s">
        <v>851</v>
      </c>
      <c r="D188" s="205" t="s">
        <v>815</v>
      </c>
      <c r="E188" s="146"/>
      <c r="F188" s="151"/>
      <c r="G188"/>
      <c r="H188" s="8"/>
      <c r="I188" s="8"/>
      <c r="J188" s="8"/>
      <c r="K188" s="181" t="s">
        <v>447</v>
      </c>
      <c r="L188" s="186"/>
      <c r="M188" s="128" t="s">
        <v>851</v>
      </c>
      <c r="N188" s="205" t="s">
        <v>815</v>
      </c>
      <c r="O188" s="146"/>
      <c r="P188" s="151"/>
      <c r="Q188"/>
      <c r="R188" s="8"/>
      <c r="S188" s="8"/>
      <c r="T188" s="69" t="s">
        <v>453</v>
      </c>
      <c r="U188" s="83" t="s">
        <v>453</v>
      </c>
      <c r="V188" t="s">
        <v>453</v>
      </c>
      <c r="W188" t="s">
        <v>453</v>
      </c>
      <c r="X188" s="6"/>
      <c r="Y188" t="s">
        <v>436</v>
      </c>
      <c r="Z188"/>
      <c r="AA188"/>
      <c r="AB188"/>
      <c r="AC188"/>
      <c r="AD188" t="s">
        <v>445</v>
      </c>
      <c r="AE188"/>
    </row>
    <row r="189" spans="2:31" ht="14.25" customHeight="1" thickBot="1" x14ac:dyDescent="0.3">
      <c r="B189" s="158" t="s">
        <v>439</v>
      </c>
      <c r="C189" s="128" t="s">
        <v>851</v>
      </c>
      <c r="D189" s="205" t="s">
        <v>815</v>
      </c>
      <c r="E189" s="146"/>
      <c r="F189" s="151"/>
      <c r="G189"/>
      <c r="H189" s="8"/>
      <c r="I189" s="8"/>
      <c r="J189" s="8"/>
      <c r="K189" s="184" t="s">
        <v>449</v>
      </c>
      <c r="L189" s="188"/>
      <c r="M189" s="128" t="s">
        <v>851</v>
      </c>
      <c r="N189" s="205" t="s">
        <v>815</v>
      </c>
      <c r="O189" s="153"/>
      <c r="P189" s="154"/>
      <c r="Q189"/>
      <c r="R189" s="8"/>
      <c r="S189" s="8"/>
      <c r="T189" s="69" t="s">
        <v>453</v>
      </c>
      <c r="U189" s="83" t="s">
        <v>453</v>
      </c>
      <c r="V189" t="s">
        <v>453</v>
      </c>
      <c r="W189" t="s">
        <v>453</v>
      </c>
      <c r="X189" s="6"/>
      <c r="Y189" t="s">
        <v>439</v>
      </c>
      <c r="Z189"/>
      <c r="AA189"/>
      <c r="AB189"/>
      <c r="AC189"/>
      <c r="AD189" t="s">
        <v>447</v>
      </c>
      <c r="AE189"/>
    </row>
    <row r="190" spans="2:31" ht="14.25" customHeight="1" x14ac:dyDescent="0.25">
      <c r="B190" s="158" t="s">
        <v>441</v>
      </c>
      <c r="C190" s="128" t="s">
        <v>851</v>
      </c>
      <c r="D190" s="205" t="s">
        <v>815</v>
      </c>
      <c r="E190" s="146"/>
      <c r="F190" s="151"/>
      <c r="G190"/>
      <c r="H190" s="8"/>
      <c r="I190" s="8"/>
      <c r="J190" s="8"/>
      <c r="K190"/>
      <c r="L190"/>
      <c r="M190"/>
      <c r="N190"/>
      <c r="O190"/>
      <c r="P190"/>
      <c r="Q190"/>
      <c r="R190" s="8"/>
      <c r="S190" s="8"/>
      <c r="T190" s="69" t="s">
        <v>453</v>
      </c>
      <c r="U190" s="83" t="s">
        <v>453</v>
      </c>
      <c r="V190" t="s">
        <v>453</v>
      </c>
      <c r="W190" t="s">
        <v>453</v>
      </c>
      <c r="X190" s="6"/>
      <c r="Y190" t="s">
        <v>441</v>
      </c>
      <c r="Z190"/>
      <c r="AA190"/>
      <c r="AB190"/>
      <c r="AC190"/>
      <c r="AD190" t="s">
        <v>449</v>
      </c>
      <c r="AE190"/>
    </row>
    <row r="191" spans="2:31" ht="14.25" customHeight="1" x14ac:dyDescent="0.25">
      <c r="B191" s="158" t="s">
        <v>731</v>
      </c>
      <c r="C191" s="128" t="s">
        <v>851</v>
      </c>
      <c r="D191" s="205" t="s">
        <v>815</v>
      </c>
      <c r="E191" s="146"/>
      <c r="F191" s="151"/>
      <c r="G191"/>
      <c r="H191" s="8"/>
      <c r="I191" s="8"/>
      <c r="J191" s="8"/>
      <c r="K191"/>
      <c r="L191"/>
      <c r="M191"/>
      <c r="N191"/>
      <c r="O191"/>
      <c r="P191"/>
      <c r="Q191"/>
      <c r="R191" s="8"/>
      <c r="S191" s="8"/>
      <c r="T191" s="69" t="s">
        <v>453</v>
      </c>
      <c r="U191" s="83" t="s">
        <v>453</v>
      </c>
      <c r="V191" t="s">
        <v>453</v>
      </c>
      <c r="W191"/>
      <c r="X191" s="6"/>
      <c r="Y191" t="s">
        <v>444</v>
      </c>
      <c r="Z191"/>
      <c r="AA191"/>
      <c r="AB191"/>
      <c r="AC191"/>
      <c r="AD191"/>
      <c r="AE191"/>
    </row>
    <row r="192" spans="2:31" ht="14.25" customHeight="1" x14ac:dyDescent="0.25">
      <c r="B192" s="158" t="s">
        <v>444</v>
      </c>
      <c r="C192" s="128" t="s">
        <v>851</v>
      </c>
      <c r="D192" s="205" t="s">
        <v>815</v>
      </c>
      <c r="E192" s="146"/>
      <c r="F192" s="151"/>
      <c r="G192"/>
      <c r="H192" s="8"/>
      <c r="I192" s="8"/>
      <c r="J192" s="8"/>
      <c r="K192"/>
      <c r="L192"/>
      <c r="M192"/>
      <c r="N192"/>
      <c r="O192"/>
      <c r="P192"/>
      <c r="Q192"/>
      <c r="R192" s="8"/>
      <c r="S192" s="8"/>
      <c r="T192" s="69" t="s">
        <v>453</v>
      </c>
      <c r="U192" s="83" t="s">
        <v>453</v>
      </c>
      <c r="V192" t="s">
        <v>453</v>
      </c>
      <c r="W192"/>
      <c r="X192" s="6"/>
      <c r="Y192" t="s">
        <v>451</v>
      </c>
      <c r="Z192"/>
      <c r="AA192"/>
      <c r="AB192"/>
      <c r="AC192"/>
      <c r="AD192"/>
      <c r="AE192"/>
    </row>
    <row r="193" spans="2:31" ht="14.25" customHeight="1" x14ac:dyDescent="0.25">
      <c r="B193" s="158" t="s">
        <v>448</v>
      </c>
      <c r="C193" s="128" t="s">
        <v>851</v>
      </c>
      <c r="D193" s="205" t="s">
        <v>815</v>
      </c>
      <c r="E193" s="146"/>
      <c r="F193" s="151"/>
      <c r="G193"/>
      <c r="H193" s="8"/>
      <c r="I193" s="8"/>
      <c r="J193" s="8"/>
      <c r="K193"/>
      <c r="L193"/>
      <c r="M193"/>
      <c r="N193"/>
      <c r="O193"/>
      <c r="P193"/>
      <c r="Q193"/>
      <c r="R193" s="8"/>
      <c r="S193" s="8"/>
      <c r="T193" s="69" t="s">
        <v>453</v>
      </c>
      <c r="U193" s="83" t="s">
        <v>453</v>
      </c>
      <c r="V193" t="s">
        <v>453</v>
      </c>
      <c r="W193"/>
      <c r="X193" s="6"/>
      <c r="Y193" t="s">
        <v>454</v>
      </c>
      <c r="Z193"/>
      <c r="AA193"/>
      <c r="AB193"/>
      <c r="AC193"/>
      <c r="AD193"/>
      <c r="AE193"/>
    </row>
    <row r="194" spans="2:31" ht="14.25" customHeight="1" x14ac:dyDescent="0.25">
      <c r="B194" s="158" t="s">
        <v>454</v>
      </c>
      <c r="C194" s="128" t="s">
        <v>851</v>
      </c>
      <c r="D194" s="205" t="s">
        <v>815</v>
      </c>
      <c r="E194" s="146"/>
      <c r="F194" s="151"/>
      <c r="G194"/>
      <c r="H194" s="8"/>
      <c r="I194" s="8"/>
      <c r="J194" s="8"/>
      <c r="K194"/>
      <c r="L194"/>
      <c r="M194"/>
      <c r="N194"/>
      <c r="O194"/>
      <c r="P194"/>
      <c r="Q194"/>
      <c r="R194" s="8"/>
      <c r="S194" s="8"/>
      <c r="T194" s="69" t="s">
        <v>453</v>
      </c>
      <c r="U194" s="83" t="s">
        <v>453</v>
      </c>
      <c r="V194" t="s">
        <v>453</v>
      </c>
      <c r="W194"/>
      <c r="X194" s="6"/>
      <c r="Y194" t="s">
        <v>341</v>
      </c>
      <c r="Z194"/>
      <c r="AA194"/>
      <c r="AB194"/>
      <c r="AC194"/>
      <c r="AD194"/>
      <c r="AE194"/>
    </row>
    <row r="195" spans="2:31" ht="14.25" customHeight="1" x14ac:dyDescent="0.25">
      <c r="B195" s="158" t="s">
        <v>341</v>
      </c>
      <c r="C195" s="128" t="s">
        <v>851</v>
      </c>
      <c r="D195" s="205" t="s">
        <v>815</v>
      </c>
      <c r="E195" s="146"/>
      <c r="F195" s="151"/>
      <c r="G195"/>
      <c r="H195" s="8"/>
      <c r="I195" s="8"/>
      <c r="J195" s="8"/>
      <c r="Q195"/>
      <c r="R195" s="8"/>
      <c r="S195" s="8"/>
      <c r="T195" s="69" t="s">
        <v>453</v>
      </c>
      <c r="U195" s="83"/>
      <c r="V195" t="s">
        <v>453</v>
      </c>
      <c r="W195"/>
      <c r="X195" s="6"/>
      <c r="Y195" t="s">
        <v>348</v>
      </c>
      <c r="Z195"/>
      <c r="AA195"/>
      <c r="AB195"/>
      <c r="AC195"/>
      <c r="AD195"/>
      <c r="AE195"/>
    </row>
    <row r="196" spans="2:31" ht="14.25" customHeight="1" thickBot="1" x14ac:dyDescent="0.3">
      <c r="B196" s="184" t="s">
        <v>748</v>
      </c>
      <c r="C196" s="128" t="s">
        <v>21</v>
      </c>
      <c r="D196" s="205" t="s">
        <v>815</v>
      </c>
      <c r="E196" s="153"/>
      <c r="F196" s="154"/>
      <c r="G196"/>
      <c r="H196" s="8"/>
      <c r="I196" s="8"/>
      <c r="J196" s="8"/>
      <c r="K196" s="8"/>
      <c r="L196" s="8"/>
      <c r="M196" s="8"/>
      <c r="N196" s="8"/>
      <c r="O196" s="8"/>
      <c r="P196" s="8"/>
      <c r="Q196"/>
      <c r="R196" s="8"/>
      <c r="S196" s="8"/>
      <c r="T196" s="69"/>
      <c r="U196" s="83"/>
      <c r="V196"/>
      <c r="W196"/>
      <c r="X196" s="6"/>
      <c r="Y196"/>
      <c r="Z196"/>
      <c r="AA196"/>
      <c r="AB196"/>
      <c r="AC196"/>
      <c r="AD196"/>
      <c r="AE196"/>
    </row>
    <row r="197" spans="2:31" ht="14.25" customHeight="1" x14ac:dyDescent="0.25">
      <c r="B197" s="52"/>
      <c r="C197"/>
      <c r="D197"/>
      <c r="E197"/>
      <c r="F197"/>
      <c r="G197"/>
      <c r="H197" s="8"/>
      <c r="I197" s="8"/>
      <c r="J197" s="8"/>
      <c r="K197" s="8"/>
      <c r="L197" s="8"/>
      <c r="M197" s="8"/>
      <c r="N197" s="8"/>
      <c r="O197" s="8"/>
      <c r="P197" s="8"/>
      <c r="Q197"/>
      <c r="R197" s="8"/>
      <c r="S197" s="8"/>
      <c r="T197" s="69"/>
      <c r="U197" s="83"/>
      <c r="V197"/>
      <c r="W197"/>
      <c r="X197" s="6"/>
      <c r="Y197"/>
      <c r="Z197"/>
      <c r="AA197"/>
      <c r="AB197"/>
      <c r="AC197"/>
      <c r="AD197"/>
      <c r="AE197"/>
    </row>
    <row r="198" spans="2:31" ht="14.25" customHeight="1" x14ac:dyDescent="0.25">
      <c r="B198" s="52"/>
      <c r="C198"/>
      <c r="D198"/>
      <c r="E198"/>
      <c r="F198"/>
      <c r="G19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69"/>
      <c r="U198" s="83"/>
      <c r="V198"/>
      <c r="W198"/>
      <c r="X198" s="6"/>
      <c r="Y198"/>
      <c r="Z198"/>
      <c r="AA198"/>
      <c r="AB198"/>
      <c r="AC198"/>
      <c r="AD198"/>
      <c r="AE198"/>
    </row>
    <row r="199" spans="2:31" ht="14.25" customHeight="1" x14ac:dyDescent="0.25">
      <c r="B199" s="52"/>
      <c r="C199"/>
      <c r="D199"/>
      <c r="E199"/>
      <c r="F199"/>
      <c r="G199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69"/>
      <c r="U199" s="83"/>
      <c r="V199"/>
      <c r="W199"/>
      <c r="X199" s="6"/>
      <c r="Y199"/>
      <c r="Z199"/>
      <c r="AA199"/>
      <c r="AB199"/>
      <c r="AC199"/>
      <c r="AD199"/>
      <c r="AE199"/>
    </row>
    <row r="200" spans="2:31" ht="14.25" customHeight="1" x14ac:dyDescent="0.25">
      <c r="B200" s="52"/>
      <c r="C200"/>
      <c r="D200"/>
      <c r="E200"/>
      <c r="F200"/>
      <c r="G200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69"/>
      <c r="U200" s="83"/>
      <c r="V200"/>
      <c r="W200"/>
      <c r="X200" s="6"/>
      <c r="Y200"/>
      <c r="Z200"/>
      <c r="AA200"/>
      <c r="AB200"/>
      <c r="AC200"/>
      <c r="AD200"/>
      <c r="AE200"/>
    </row>
    <row r="201" spans="2:31" ht="14.25" customHeight="1" x14ac:dyDescent="0.25">
      <c r="B201" s="52"/>
      <c r="C201"/>
      <c r="D201"/>
      <c r="E201"/>
      <c r="F201"/>
      <c r="G201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73"/>
      <c r="U201" s="84"/>
      <c r="V201"/>
      <c r="W201"/>
      <c r="X201" s="6"/>
      <c r="Y201"/>
      <c r="Z201"/>
      <c r="AA201"/>
      <c r="AB201"/>
      <c r="AC201"/>
      <c r="AD201"/>
      <c r="AE201"/>
    </row>
    <row r="202" spans="2:31" ht="14.25" customHeight="1" x14ac:dyDescent="0.25">
      <c r="B202" s="52"/>
      <c r="C202"/>
      <c r="D202"/>
      <c r="E202"/>
      <c r="F202"/>
      <c r="G202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/>
      <c r="W202"/>
      <c r="X202" s="6"/>
      <c r="Z202" s="45"/>
    </row>
    <row r="203" spans="2:31" ht="14.25" customHeight="1" x14ac:dyDescent="0.25">
      <c r="B203" s="52"/>
      <c r="C203"/>
      <c r="D203"/>
      <c r="E203"/>
      <c r="F203"/>
      <c r="G203"/>
      <c r="H203" s="8"/>
      <c r="I203" s="8"/>
      <c r="J203" s="8"/>
      <c r="Q203" s="8"/>
      <c r="R203" s="8"/>
      <c r="S203" s="8"/>
      <c r="T203" s="8"/>
      <c r="U203" s="8"/>
      <c r="V203"/>
      <c r="W203"/>
      <c r="X203" s="6"/>
      <c r="Z203" s="45"/>
    </row>
    <row r="204" spans="2:31" ht="15" hidden="1" x14ac:dyDescent="0.25">
      <c r="B204" s="52"/>
      <c r="C204"/>
      <c r="D204"/>
      <c r="E204"/>
      <c r="F204"/>
      <c r="G204"/>
      <c r="H204" s="8"/>
      <c r="I204" s="8"/>
      <c r="J204" s="8"/>
      <c r="Q204" s="8"/>
    </row>
    <row r="205" spans="2:31" ht="14.25" hidden="1" x14ac:dyDescent="0.25"/>
    <row r="206" spans="2:31" ht="14.25" customHeight="1" x14ac:dyDescent="0.25"/>
    <row r="207" spans="2:31" ht="14.25" customHeight="1" x14ac:dyDescent="0.25"/>
    <row r="208" spans="2:31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</sheetData>
  <mergeCells count="111">
    <mergeCell ref="K79:L79"/>
    <mergeCell ref="K80:L80"/>
    <mergeCell ref="K81:L81"/>
    <mergeCell ref="K82:L82"/>
    <mergeCell ref="G2:J2"/>
    <mergeCell ref="K2:N2"/>
    <mergeCell ref="G4:N4"/>
    <mergeCell ref="L7:M7"/>
    <mergeCell ref="N7:Q7"/>
    <mergeCell ref="N6:Q6"/>
    <mergeCell ref="M10:P10"/>
    <mergeCell ref="M11:P11"/>
    <mergeCell ref="M44:N44"/>
    <mergeCell ref="H11:K11"/>
    <mergeCell ref="G7:H7"/>
    <mergeCell ref="I7:K7"/>
    <mergeCell ref="H10:K10"/>
    <mergeCell ref="N54:Q54"/>
    <mergeCell ref="B6:C6"/>
    <mergeCell ref="D6:F6"/>
    <mergeCell ref="G6:H6"/>
    <mergeCell ref="I6:K6"/>
    <mergeCell ref="L6:M6"/>
    <mergeCell ref="E44:F44"/>
    <mergeCell ref="M45:N45"/>
    <mergeCell ref="C11:F11"/>
    <mergeCell ref="B7:C7"/>
    <mergeCell ref="D7:F7"/>
    <mergeCell ref="C10:F10"/>
    <mergeCell ref="E45:F45"/>
    <mergeCell ref="C74:F74"/>
    <mergeCell ref="M74:P74"/>
    <mergeCell ref="B105:C105"/>
    <mergeCell ref="D105:F105"/>
    <mergeCell ref="G105:H105"/>
    <mergeCell ref="L105:M105"/>
    <mergeCell ref="K131:L131"/>
    <mergeCell ref="K132:L132"/>
    <mergeCell ref="K96:L96"/>
    <mergeCell ref="K98:L98"/>
    <mergeCell ref="K99:L99"/>
    <mergeCell ref="K91:L91"/>
    <mergeCell ref="K92:L92"/>
    <mergeCell ref="K93:L93"/>
    <mergeCell ref="K94:L94"/>
    <mergeCell ref="K86:L86"/>
    <mergeCell ref="K87:L87"/>
    <mergeCell ref="K88:L88"/>
    <mergeCell ref="K89:L89"/>
    <mergeCell ref="K90:L90"/>
    <mergeCell ref="K97:L97"/>
    <mergeCell ref="K76:L76"/>
    <mergeCell ref="K77:L77"/>
    <mergeCell ref="K78:L78"/>
    <mergeCell ref="D54:F54"/>
    <mergeCell ref="G54:H54"/>
    <mergeCell ref="I54:K54"/>
    <mergeCell ref="C57:F57"/>
    <mergeCell ref="H57:K57"/>
    <mergeCell ref="M57:P57"/>
    <mergeCell ref="M58:P58"/>
    <mergeCell ref="H58:K58"/>
    <mergeCell ref="C58:F58"/>
    <mergeCell ref="L54:M54"/>
    <mergeCell ref="B54:C54"/>
    <mergeCell ref="M162:P162"/>
    <mergeCell ref="M108:P108"/>
    <mergeCell ref="C108:F108"/>
    <mergeCell ref="B159:C159"/>
    <mergeCell ref="D159:F159"/>
    <mergeCell ref="G159:H159"/>
    <mergeCell ref="L159:M159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22:L122"/>
    <mergeCell ref="K123:L123"/>
    <mergeCell ref="K124:L124"/>
    <mergeCell ref="K125:L125"/>
    <mergeCell ref="K126:L126"/>
    <mergeCell ref="K118:L118"/>
    <mergeCell ref="K119:L119"/>
    <mergeCell ref="K137:L137"/>
    <mergeCell ref="K127:L127"/>
    <mergeCell ref="K95:L95"/>
    <mergeCell ref="C162:F162"/>
    <mergeCell ref="K83:L83"/>
    <mergeCell ref="K130:L130"/>
    <mergeCell ref="K143:L143"/>
    <mergeCell ref="K144:L144"/>
    <mergeCell ref="K146:L146"/>
    <mergeCell ref="K138:L138"/>
    <mergeCell ref="K139:L139"/>
    <mergeCell ref="K140:L140"/>
    <mergeCell ref="K141:L141"/>
    <mergeCell ref="K142:L142"/>
    <mergeCell ref="K120:L120"/>
    <mergeCell ref="K121:L121"/>
    <mergeCell ref="K133:L133"/>
    <mergeCell ref="K134:L134"/>
    <mergeCell ref="K135:L135"/>
    <mergeCell ref="K136:L136"/>
    <mergeCell ref="K128:L128"/>
    <mergeCell ref="K129:L129"/>
    <mergeCell ref="K84:L84"/>
    <mergeCell ref="K85:L85"/>
  </mergeCells>
  <conditionalFormatting sqref="D41">
    <cfRule type="cellIs" dxfId="78" priority="84" operator="equal">
      <formula>"Jersey Post"</formula>
    </cfRule>
    <cfRule type="containsText" dxfId="77" priority="85" operator="containsText" text="La Poste">
      <formula>NOT(ISERROR(SEARCH("La Poste",D41)))</formula>
    </cfRule>
    <cfRule type="containsText" dxfId="76" priority="86" operator="containsText" text="Swiss Post">
      <formula>NOT(ISERROR(SEARCH("Swiss Post",D41)))</formula>
    </cfRule>
  </conditionalFormatting>
  <conditionalFormatting sqref="D67">
    <cfRule type="cellIs" dxfId="75" priority="92" operator="equal">
      <formula>"Jersey Post"</formula>
    </cfRule>
    <cfRule type="containsText" dxfId="74" priority="121" operator="containsText" text="La Poste">
      <formula>NOT(ISERROR(SEARCH("La Poste",D67)))</formula>
    </cfRule>
    <cfRule type="containsText" dxfId="73" priority="122" operator="containsText" text="Swiss Post">
      <formula>NOT(ISERROR(SEARCH("Swiss Post",D67)))</formula>
    </cfRule>
  </conditionalFormatting>
  <conditionalFormatting sqref="F39">
    <cfRule type="expression" dxfId="72" priority="1">
      <formula>IF(#REF!="EUR",1,0)</formula>
    </cfRule>
  </conditionalFormatting>
  <conditionalFormatting sqref="F41">
    <cfRule type="expression" dxfId="71" priority="83">
      <formula>IF(#REF!="EUR",1,0)</formula>
    </cfRule>
  </conditionalFormatting>
  <conditionalFormatting sqref="F196">
    <cfRule type="expression" dxfId="70" priority="72">
      <formula>IF(#REF!="EUR",1,0)</formula>
    </cfRule>
  </conditionalFormatting>
  <conditionalFormatting sqref="I41">
    <cfRule type="cellIs" dxfId="69" priority="80" operator="equal">
      <formula>"Jersey Post"</formula>
    </cfRule>
    <cfRule type="containsText" dxfId="68" priority="81" operator="containsText" text="La Poste">
      <formula>NOT(ISERROR(SEARCH("La Poste",I41)))</formula>
    </cfRule>
    <cfRule type="containsText" dxfId="67" priority="82" operator="containsText" text="Swiss Post">
      <formula>NOT(ISERROR(SEARCH("Swiss Post",I41)))</formula>
    </cfRule>
  </conditionalFormatting>
  <conditionalFormatting sqref="I67">
    <cfRule type="cellIs" dxfId="66" priority="13" operator="equal">
      <formula>"Jersey Post"</formula>
    </cfRule>
    <cfRule type="containsText" dxfId="65" priority="14" operator="containsText" text="La Poste">
      <formula>NOT(ISERROR(SEARCH("La Poste",I67)))</formula>
    </cfRule>
    <cfRule type="containsText" dxfId="64" priority="15" operator="containsText" text="Swiss Post">
      <formula>NOT(ISERROR(SEARCH("Swiss Post",I67)))</formula>
    </cfRule>
  </conditionalFormatting>
  <conditionalFormatting sqref="K39">
    <cfRule type="expression" dxfId="63" priority="90">
      <formula>IF(#REF!="EUR",1,0)</formula>
    </cfRule>
  </conditionalFormatting>
  <conditionalFormatting sqref="K41">
    <cfRule type="expression" dxfId="62" priority="79">
      <formula>IF(#REF!="EUR",1,0)</formula>
    </cfRule>
  </conditionalFormatting>
  <conditionalFormatting sqref="N41">
    <cfRule type="cellIs" dxfId="61" priority="76" operator="equal">
      <formula>"Jersey Post"</formula>
    </cfRule>
    <cfRule type="containsText" dxfId="60" priority="77" operator="containsText" text="La Poste">
      <formula>NOT(ISERROR(SEARCH("La Poste",N41)))</formula>
    </cfRule>
    <cfRule type="containsText" dxfId="59" priority="78" operator="containsText" text="Swiss Post">
      <formula>NOT(ISERROR(SEARCH("Swiss Post",N41)))</formula>
    </cfRule>
  </conditionalFormatting>
  <conditionalFormatting sqref="N67">
    <cfRule type="cellIs" dxfId="58" priority="10" operator="equal">
      <formula>"Jersey Post"</formula>
    </cfRule>
    <cfRule type="containsText" dxfId="57" priority="11" operator="containsText" text="La Poste">
      <formula>NOT(ISERROR(SEARCH("La Poste",N67)))</formula>
    </cfRule>
    <cfRule type="containsText" dxfId="56" priority="12" operator="containsText" text="Swiss Post">
      <formula>NOT(ISERROR(SEARCH("Swiss Post",N67)))</formula>
    </cfRule>
  </conditionalFormatting>
  <conditionalFormatting sqref="O45:P45 O46:Q48">
    <cfRule type="cellIs" dxfId="55" priority="120" operator="equal">
      <formula>0</formula>
    </cfRule>
  </conditionalFormatting>
  <conditionalFormatting sqref="P39">
    <cfRule type="expression" dxfId="54" priority="89">
      <formula>IF(#REF!="EUR",1,0)</formula>
    </cfRule>
  </conditionalFormatting>
  <conditionalFormatting sqref="P41">
    <cfRule type="expression" dxfId="53" priority="75">
      <formula>IF(#REF!="EUR",1,0)</formula>
    </cfRule>
  </conditionalFormatting>
  <conditionalFormatting sqref="P189">
    <cfRule type="expression" dxfId="52" priority="30">
      <formula>IF(#REF!="EUR",1,0)</formula>
    </cfRule>
  </conditionalFormatting>
  <conditionalFormatting sqref="S129:S141">
    <cfRule type="expression" dxfId="51" priority="115">
      <formula>IF(#REF!="EUR",1,0)</formula>
    </cfRule>
  </conditionalFormatting>
  <conditionalFormatting sqref="S81:T93 T163:T201">
    <cfRule type="expression" dxfId="50" priority="118">
      <formula>IF(#REF!="EUR",1,0)</formula>
    </cfRule>
  </conditionalFormatting>
  <conditionalFormatting sqref="S111:T111 S112:S123 T112:T151">
    <cfRule type="expression" dxfId="49" priority="117">
      <formula>IF(#REF!="EUR",1,0)</formula>
    </cfRule>
  </conditionalFormatting>
  <conditionalFormatting sqref="T39">
    <cfRule type="expression" dxfId="48" priority="123">
      <formula>IF(#REF!="EUR",1,0)</formula>
    </cfRule>
  </conditionalFormatting>
  <printOptions horizontalCentered="1" verticalCentered="1"/>
  <pageMargins left="0.23622047244094491" right="0.23622047244094491" top="0.23622047244094491" bottom="0.23622047244094491" header="0.31496062992125984" footer="0.31496062992125984"/>
  <pageSetup paperSize="9" scale="75" fitToHeight="0" orientation="landscape" r:id="rId1"/>
  <rowBreaks count="1" manualBreakCount="1">
    <brk id="47" min="1" max="1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70A0C-2ACE-44E6-B3C6-A07F28F69C6B}">
  <sheetPr>
    <tabColor rgb="FFD9E6E8"/>
    <pageSetUpPr fitToPage="1"/>
  </sheetPr>
  <dimension ref="A1:AG261"/>
  <sheetViews>
    <sheetView showGridLines="0" showRowColHeaders="0" zoomScaleNormal="100" zoomScaleSheetLayoutView="85" workbookViewId="0">
      <selection activeCell="D6" sqref="D6:F6"/>
    </sheetView>
  </sheetViews>
  <sheetFormatPr defaultColWidth="0" defaultRowHeight="0" customHeight="1" zeroHeight="1" x14ac:dyDescent="0.25"/>
  <cols>
    <col min="1" max="1" width="0.85546875" style="6" customWidth="1"/>
    <col min="2" max="2" width="18" style="6" customWidth="1"/>
    <col min="3" max="5" width="11.42578125" style="45" customWidth="1"/>
    <col min="6" max="7" width="11.42578125" style="6" customWidth="1"/>
    <col min="8" max="10" width="11.42578125" style="45" customWidth="1"/>
    <col min="11" max="12" width="11.42578125" style="6" customWidth="1"/>
    <col min="13" max="15" width="11.42578125" style="45" customWidth="1"/>
    <col min="16" max="17" width="11.42578125" style="6" customWidth="1"/>
    <col min="18" max="18" width="1.42578125" style="45" customWidth="1"/>
    <col min="19" max="20" width="8.140625" style="6" hidden="1" customWidth="1"/>
    <col min="21" max="21" width="12.140625" style="45" hidden="1" customWidth="1"/>
    <col min="22" max="23" width="8.140625" style="6" hidden="1" customWidth="1"/>
    <col min="24" max="24" width="12.140625" style="45" hidden="1" customWidth="1"/>
    <col min="25" max="26" width="8.140625" style="6" hidden="1" customWidth="1"/>
    <col min="27" max="27" width="0.85546875" style="6" hidden="1" customWidth="1"/>
    <col min="28" max="16384" width="9.140625" style="6" hidden="1"/>
  </cols>
  <sheetData>
    <row r="1" spans="1:31" s="1" customFormat="1" ht="4.5" customHeight="1" thickBot="1" x14ac:dyDescent="0.3">
      <c r="B1" s="1" t="s">
        <v>817</v>
      </c>
      <c r="C1" s="2"/>
      <c r="D1" s="2"/>
      <c r="E1" s="2"/>
      <c r="F1" s="3"/>
      <c r="G1" s="3"/>
      <c r="H1" s="4"/>
      <c r="I1" s="4"/>
      <c r="J1" s="4"/>
      <c r="K1" s="3"/>
      <c r="L1" s="3"/>
      <c r="M1" s="4"/>
      <c r="N1" s="5"/>
      <c r="O1" s="5"/>
      <c r="P1" s="5"/>
      <c r="Q1" s="5"/>
      <c r="R1" s="4"/>
      <c r="S1" s="3"/>
      <c r="T1" s="3"/>
      <c r="U1" s="4"/>
      <c r="V1" s="3"/>
      <c r="W1" s="3"/>
      <c r="X1" s="4"/>
      <c r="Y1" s="3"/>
      <c r="Z1" s="3"/>
      <c r="AA1" s="3"/>
    </row>
    <row r="2" spans="1:31" ht="18.75" thickBot="1" x14ac:dyDescent="0.3">
      <c r="B2" s="7"/>
      <c r="C2" s="8"/>
      <c r="D2" s="8"/>
      <c r="E2" s="8"/>
      <c r="F2" s="8"/>
      <c r="G2" s="289" t="s">
        <v>820</v>
      </c>
      <c r="H2" s="290"/>
      <c r="I2" s="290"/>
      <c r="J2" s="290"/>
      <c r="K2" s="290" t="s">
        <v>821</v>
      </c>
      <c r="L2" s="290"/>
      <c r="M2" s="290"/>
      <c r="N2" s="291"/>
      <c r="O2"/>
      <c r="P2"/>
      <c r="Q2"/>
      <c r="R2" s="8"/>
      <c r="S2" s="8"/>
      <c r="T2" s="8"/>
      <c r="U2" s="8"/>
      <c r="V2" s="8"/>
      <c r="W2" s="8"/>
      <c r="X2" s="8"/>
      <c r="Y2" s="8"/>
      <c r="Z2" s="8"/>
    </row>
    <row r="3" spans="1:31" s="9" customFormat="1" ht="29.25" customHeight="1" thickBot="1" x14ac:dyDescent="0.3">
      <c r="B3" s="109" t="s">
        <v>819</v>
      </c>
      <c r="C3" s="10"/>
      <c r="D3" s="10"/>
      <c r="E3" s="10"/>
      <c r="G3" s="132" t="s">
        <v>487</v>
      </c>
      <c r="H3" s="162" t="s">
        <v>488</v>
      </c>
      <c r="I3" s="132" t="s">
        <v>489</v>
      </c>
      <c r="J3" s="163"/>
      <c r="K3" s="132" t="s">
        <v>490</v>
      </c>
      <c r="L3" s="162" t="s">
        <v>488</v>
      </c>
      <c r="M3" s="132" t="s">
        <v>491</v>
      </c>
      <c r="N3" s="164"/>
      <c r="O3"/>
      <c r="P3"/>
      <c r="Q3"/>
      <c r="R3" s="11"/>
      <c r="U3" s="11"/>
      <c r="X3" s="11"/>
    </row>
    <row r="4" spans="1:31" ht="15" x14ac:dyDescent="0.25">
      <c r="B4" s="12" t="str">
        <f>'Priority Manifest'!$B$4</f>
        <v>Valid from 1st January 2025</v>
      </c>
      <c r="C4" s="13"/>
      <c r="D4" s="13"/>
      <c r="E4" s="13"/>
      <c r="F4" s="8"/>
      <c r="G4" s="280" t="s">
        <v>492</v>
      </c>
      <c r="H4" s="280"/>
      <c r="I4" s="280"/>
      <c r="J4" s="280"/>
      <c r="K4" s="280"/>
      <c r="L4" s="280"/>
      <c r="M4" s="280"/>
      <c r="N4" s="280"/>
      <c r="O4"/>
      <c r="P4"/>
      <c r="Q4"/>
      <c r="R4" s="8"/>
      <c r="S4" s="8"/>
      <c r="T4" s="8"/>
      <c r="U4" s="8"/>
      <c r="V4" s="8"/>
      <c r="W4" s="8"/>
      <c r="X4" s="8"/>
      <c r="Y4" s="8"/>
      <c r="Z4" s="8"/>
    </row>
    <row r="5" spans="1:31" ht="15.75" thickBot="1" x14ac:dyDescent="0.3">
      <c r="B5" s="14"/>
      <c r="C5" s="13"/>
      <c r="D5" s="13"/>
      <c r="E5" s="13"/>
      <c r="F5" s="8"/>
      <c r="G5" s="8"/>
      <c r="H5" s="8"/>
      <c r="I5" s="8"/>
      <c r="J5" s="8"/>
      <c r="K5" s="8"/>
      <c r="L5" s="8"/>
      <c r="M5" s="8"/>
      <c r="N5" s="8"/>
      <c r="O5"/>
      <c r="P5"/>
      <c r="Q5"/>
      <c r="R5" s="8"/>
      <c r="S5" s="8"/>
      <c r="T5" s="8"/>
      <c r="U5" s="8"/>
      <c r="V5" s="8"/>
      <c r="W5" s="8"/>
      <c r="X5" s="8"/>
      <c r="Y5" s="8"/>
      <c r="Z5" s="8"/>
    </row>
    <row r="6" spans="1:31" ht="14.25" customHeight="1" x14ac:dyDescent="0.25">
      <c r="B6" s="292" t="s">
        <v>0</v>
      </c>
      <c r="C6" s="293"/>
      <c r="D6" s="294" t="s">
        <v>854</v>
      </c>
      <c r="E6" s="294"/>
      <c r="F6" s="294"/>
      <c r="G6" s="293" t="s">
        <v>1</v>
      </c>
      <c r="H6" s="293"/>
      <c r="I6" s="294"/>
      <c r="J6" s="294"/>
      <c r="K6" s="294"/>
      <c r="L6" s="293" t="s">
        <v>2</v>
      </c>
      <c r="M6" s="293"/>
      <c r="N6" s="295"/>
      <c r="O6" s="295"/>
      <c r="P6" s="295"/>
      <c r="Q6" s="296"/>
      <c r="R6" s="8"/>
      <c r="S6" s="8"/>
      <c r="T6" s="8"/>
      <c r="U6" s="8"/>
      <c r="V6" s="8"/>
      <c r="W6" s="8"/>
      <c r="X6" s="8"/>
      <c r="Y6" s="8"/>
      <c r="Z6"/>
      <c r="AA6"/>
      <c r="AB6"/>
      <c r="AC6"/>
      <c r="AD6"/>
      <c r="AE6"/>
    </row>
    <row r="7" spans="1:31" ht="14.25" customHeight="1" thickBot="1" x14ac:dyDescent="0.3">
      <c r="B7" s="297" t="s">
        <v>3</v>
      </c>
      <c r="C7" s="298"/>
      <c r="D7" s="287"/>
      <c r="E7" s="287"/>
      <c r="F7" s="287"/>
      <c r="G7" s="298" t="s">
        <v>4</v>
      </c>
      <c r="H7" s="298"/>
      <c r="I7" s="287"/>
      <c r="J7" s="287"/>
      <c r="K7" s="287"/>
      <c r="L7" s="298" t="s">
        <v>5</v>
      </c>
      <c r="M7" s="298"/>
      <c r="N7" s="287"/>
      <c r="O7" s="287"/>
      <c r="P7" s="287"/>
      <c r="Q7" s="288"/>
      <c r="R7" s="8"/>
      <c r="S7" s="8"/>
      <c r="T7" s="8"/>
      <c r="U7" s="8"/>
      <c r="V7" s="8"/>
      <c r="W7" s="8"/>
      <c r="X7" s="8"/>
      <c r="Y7" s="8"/>
      <c r="Z7"/>
      <c r="AA7"/>
      <c r="AB7"/>
      <c r="AC7"/>
      <c r="AD7"/>
      <c r="AE7"/>
    </row>
    <row r="8" spans="1:31" ht="14.25" customHeight="1" x14ac:dyDescent="0.25">
      <c r="B8" s="15"/>
      <c r="C8" s="103"/>
      <c r="D8" s="104"/>
      <c r="E8" s="103"/>
      <c r="F8" s="103"/>
      <c r="G8" s="17"/>
      <c r="H8" s="17"/>
      <c r="I8" s="18"/>
      <c r="J8" s="18"/>
      <c r="K8" s="18"/>
      <c r="L8" s="17"/>
      <c r="M8" s="17"/>
      <c r="N8" s="18"/>
      <c r="O8" s="18"/>
      <c r="P8" s="18"/>
      <c r="Q8" s="18"/>
      <c r="R8" s="8"/>
      <c r="S8" s="8"/>
      <c r="T8" s="8"/>
      <c r="U8" s="8"/>
      <c r="V8" s="8"/>
      <c r="W8" s="8"/>
      <c r="X8" s="8"/>
      <c r="Y8" s="8"/>
      <c r="Z8"/>
      <c r="AA8"/>
      <c r="AB8"/>
      <c r="AC8"/>
      <c r="AD8"/>
      <c r="AE8"/>
    </row>
    <row r="9" spans="1:31" s="19" customFormat="1" ht="14.25" customHeight="1" thickBot="1" x14ac:dyDescent="0.3">
      <c r="B9" s="20"/>
      <c r="C9" s="21"/>
      <c r="D9" s="21" t="s">
        <v>6</v>
      </c>
      <c r="E9" s="21"/>
      <c r="F9" s="22"/>
      <c r="G9" s="22" t="s">
        <v>6</v>
      </c>
      <c r="H9" s="23"/>
      <c r="I9" s="23" t="s">
        <v>7</v>
      </c>
      <c r="J9" s="23"/>
      <c r="K9" s="22"/>
      <c r="L9" s="22" t="s">
        <v>7</v>
      </c>
      <c r="M9" s="23"/>
      <c r="N9" s="23" t="s">
        <v>8</v>
      </c>
      <c r="O9" s="23"/>
      <c r="P9" s="22"/>
      <c r="Q9" s="22" t="s">
        <v>8</v>
      </c>
      <c r="R9" s="23"/>
      <c r="S9" s="22"/>
      <c r="T9" s="22"/>
      <c r="U9" s="23"/>
      <c r="V9" s="22"/>
      <c r="W9" s="22"/>
      <c r="X9" s="23"/>
      <c r="Y9" s="22"/>
      <c r="Z9"/>
      <c r="AA9"/>
      <c r="AB9"/>
      <c r="AC9"/>
      <c r="AD9"/>
      <c r="AE9"/>
    </row>
    <row r="10" spans="1:31" s="25" customFormat="1" ht="18" x14ac:dyDescent="0.25">
      <c r="A10" s="24"/>
      <c r="C10" s="246" t="s">
        <v>456</v>
      </c>
      <c r="D10" s="247"/>
      <c r="E10" s="247"/>
      <c r="F10" s="248"/>
      <c r="G10"/>
      <c r="H10" s="246" t="s">
        <v>456</v>
      </c>
      <c r="I10" s="247"/>
      <c r="J10" s="247"/>
      <c r="K10" s="248"/>
      <c r="L10"/>
      <c r="M10" s="246" t="s">
        <v>456</v>
      </c>
      <c r="N10" s="247"/>
      <c r="O10" s="247"/>
      <c r="P10" s="248"/>
      <c r="Q10"/>
      <c r="R10" s="26"/>
      <c r="S10" s="26"/>
      <c r="T10" s="26"/>
      <c r="U10" s="26"/>
      <c r="V10" s="26"/>
      <c r="W10" s="26"/>
      <c r="X10" s="26"/>
      <c r="Y10" s="26"/>
      <c r="Z10"/>
      <c r="AA10"/>
      <c r="AB10"/>
      <c r="AC10"/>
      <c r="AD10"/>
      <c r="AE10"/>
    </row>
    <row r="11" spans="1:31" ht="15.75" customHeight="1" x14ac:dyDescent="0.25">
      <c r="A11" s="27"/>
      <c r="C11" s="299" t="s">
        <v>10</v>
      </c>
      <c r="D11" s="300"/>
      <c r="E11" s="300"/>
      <c r="F11" s="301"/>
      <c r="G11"/>
      <c r="H11" s="302" t="s">
        <v>11</v>
      </c>
      <c r="I11" s="303"/>
      <c r="J11" s="303"/>
      <c r="K11" s="304"/>
      <c r="L11"/>
      <c r="M11" s="302" t="s">
        <v>12</v>
      </c>
      <c r="N11" s="303"/>
      <c r="O11" s="303"/>
      <c r="P11" s="304"/>
      <c r="Q11"/>
      <c r="R11" s="28"/>
      <c r="T11" s="28"/>
      <c r="U11"/>
      <c r="V11"/>
      <c r="W11"/>
      <c r="X11" s="29"/>
      <c r="Y11" s="29"/>
      <c r="Z11"/>
      <c r="AA11"/>
      <c r="AB11"/>
      <c r="AC11"/>
      <c r="AD11"/>
      <c r="AE11"/>
    </row>
    <row r="12" spans="1:31" ht="15.75" thickBot="1" x14ac:dyDescent="0.3">
      <c r="A12" s="27"/>
      <c r="B12" s="30"/>
      <c r="C12" s="214" t="s">
        <v>14</v>
      </c>
      <c r="D12" s="215" t="s">
        <v>15</v>
      </c>
      <c r="E12" s="215" t="s">
        <v>16</v>
      </c>
      <c r="F12" s="216" t="s">
        <v>17</v>
      </c>
      <c r="G12"/>
      <c r="H12" s="214" t="s">
        <v>14</v>
      </c>
      <c r="I12" s="215" t="s">
        <v>15</v>
      </c>
      <c r="J12" s="215" t="s">
        <v>16</v>
      </c>
      <c r="K12" s="216" t="s">
        <v>17</v>
      </c>
      <c r="L12"/>
      <c r="M12" s="214" t="s">
        <v>14</v>
      </c>
      <c r="N12" s="215" t="s">
        <v>15</v>
      </c>
      <c r="O12" s="215" t="s">
        <v>16</v>
      </c>
      <c r="P12" s="216" t="s">
        <v>17</v>
      </c>
      <c r="Q12"/>
      <c r="R12" s="31"/>
      <c r="T12" s="32"/>
      <c r="U12"/>
      <c r="V12"/>
      <c r="W12"/>
      <c r="X12" s="31"/>
      <c r="Y12" t="s">
        <v>809</v>
      </c>
      <c r="Z12"/>
      <c r="AA12"/>
      <c r="AB12"/>
      <c r="AC12"/>
      <c r="AD12"/>
      <c r="AE12"/>
    </row>
    <row r="13" spans="1:31" ht="15" x14ac:dyDescent="0.25">
      <c r="A13" s="34" t="s">
        <v>18</v>
      </c>
      <c r="B13" s="117" t="s">
        <v>19</v>
      </c>
      <c r="C13" s="127" t="s">
        <v>20</v>
      </c>
      <c r="D13" s="205" t="s">
        <v>815</v>
      </c>
      <c r="E13" s="129"/>
      <c r="F13" s="130"/>
      <c r="G13"/>
      <c r="H13" s="131" t="s">
        <v>21</v>
      </c>
      <c r="I13" s="206" t="s">
        <v>816</v>
      </c>
      <c r="J13" s="129"/>
      <c r="K13" s="130"/>
      <c r="L13"/>
      <c r="M13" s="131" t="s">
        <v>21</v>
      </c>
      <c r="N13" s="205" t="s">
        <v>815</v>
      </c>
      <c r="O13" s="129"/>
      <c r="P13" s="130"/>
      <c r="Q13"/>
      <c r="R13" s="8"/>
      <c r="T13" s="35" t="s">
        <v>18</v>
      </c>
      <c r="U13"/>
      <c r="V13" t="s">
        <v>18</v>
      </c>
      <c r="W13"/>
      <c r="X13" s="36"/>
      <c r="Y13" t="s">
        <v>19</v>
      </c>
      <c r="Z13"/>
      <c r="AA13"/>
      <c r="AB13" t="str">
        <f>IF(Y13=B13,"TRUE","FALSE")</f>
        <v>TRUE</v>
      </c>
      <c r="AC13"/>
      <c r="AD13"/>
      <c r="AE13"/>
    </row>
    <row r="14" spans="1:31" ht="15" x14ac:dyDescent="0.25">
      <c r="A14" s="34" t="s">
        <v>22</v>
      </c>
      <c r="B14" s="119" t="s">
        <v>23</v>
      </c>
      <c r="C14" s="120" t="s">
        <v>20</v>
      </c>
      <c r="D14" s="204" t="s">
        <v>816</v>
      </c>
      <c r="E14" s="111"/>
      <c r="F14" s="113"/>
      <c r="G14"/>
      <c r="H14" s="125" t="s">
        <v>21</v>
      </c>
      <c r="I14" s="204" t="s">
        <v>816</v>
      </c>
      <c r="J14" s="111"/>
      <c r="K14" s="113"/>
      <c r="L14"/>
      <c r="M14" s="125" t="s">
        <v>21</v>
      </c>
      <c r="N14" s="204" t="s">
        <v>816</v>
      </c>
      <c r="O14" s="111"/>
      <c r="P14" s="113"/>
      <c r="Q14"/>
      <c r="R14" s="8"/>
      <c r="T14" s="37" t="s">
        <v>22</v>
      </c>
      <c r="U14"/>
      <c r="V14" t="s">
        <v>22</v>
      </c>
      <c r="W14"/>
      <c r="X14" s="36"/>
      <c r="Y14" t="s">
        <v>23</v>
      </c>
      <c r="Z14"/>
      <c r="AA14"/>
      <c r="AB14" t="str">
        <f t="shared" ref="AB14:AB39" si="0">IF(Y14=B14,"TRUE","FALSE")</f>
        <v>TRUE</v>
      </c>
      <c r="AC14"/>
      <c r="AD14"/>
      <c r="AE14"/>
    </row>
    <row r="15" spans="1:31" ht="15" x14ac:dyDescent="0.25">
      <c r="A15" s="34" t="s">
        <v>24</v>
      </c>
      <c r="B15" s="119" t="s">
        <v>25</v>
      </c>
      <c r="C15" s="120" t="s">
        <v>20</v>
      </c>
      <c r="D15" s="205" t="s">
        <v>815</v>
      </c>
      <c r="E15" s="111"/>
      <c r="F15" s="113"/>
      <c r="G15"/>
      <c r="H15" s="125" t="s">
        <v>21</v>
      </c>
      <c r="I15" s="205" t="s">
        <v>815</v>
      </c>
      <c r="J15" s="111"/>
      <c r="K15" s="113"/>
      <c r="L15"/>
      <c r="M15" s="125" t="s">
        <v>21</v>
      </c>
      <c r="N15" s="205" t="s">
        <v>815</v>
      </c>
      <c r="O15" s="111"/>
      <c r="P15" s="113"/>
      <c r="Q15"/>
      <c r="R15" s="8"/>
      <c r="T15" s="37" t="s">
        <v>24</v>
      </c>
      <c r="U15"/>
      <c r="V15" t="s">
        <v>24</v>
      </c>
      <c r="W15"/>
      <c r="X15" s="36"/>
      <c r="Y15" t="s">
        <v>25</v>
      </c>
      <c r="Z15"/>
      <c r="AA15"/>
      <c r="AB15" t="str">
        <f t="shared" si="0"/>
        <v>TRUE</v>
      </c>
      <c r="AC15"/>
      <c r="AD15"/>
      <c r="AE15"/>
    </row>
    <row r="16" spans="1:31" ht="15" x14ac:dyDescent="0.25">
      <c r="A16" s="34" t="s">
        <v>26</v>
      </c>
      <c r="B16" s="119" t="s">
        <v>27</v>
      </c>
      <c r="C16" s="120" t="s">
        <v>20</v>
      </c>
      <c r="D16" s="205" t="s">
        <v>815</v>
      </c>
      <c r="E16" s="111"/>
      <c r="F16" s="113"/>
      <c r="G16"/>
      <c r="H16" s="125" t="s">
        <v>21</v>
      </c>
      <c r="I16" s="205" t="s">
        <v>815</v>
      </c>
      <c r="J16" s="111"/>
      <c r="K16" s="113"/>
      <c r="L16"/>
      <c r="M16" s="125" t="s">
        <v>21</v>
      </c>
      <c r="N16" s="205" t="s">
        <v>815</v>
      </c>
      <c r="O16" s="111"/>
      <c r="P16" s="113"/>
      <c r="Q16"/>
      <c r="R16" s="8"/>
      <c r="T16" s="37" t="s">
        <v>26</v>
      </c>
      <c r="U16"/>
      <c r="V16" t="s">
        <v>26</v>
      </c>
      <c r="W16"/>
      <c r="X16" s="36"/>
      <c r="Y16" t="s">
        <v>27</v>
      </c>
      <c r="Z16"/>
      <c r="AA16"/>
      <c r="AB16" t="str">
        <f t="shared" si="0"/>
        <v>TRUE</v>
      </c>
      <c r="AC16"/>
      <c r="AD16"/>
      <c r="AE16"/>
    </row>
    <row r="17" spans="1:31" ht="15" x14ac:dyDescent="0.25">
      <c r="A17" s="34" t="s">
        <v>28</v>
      </c>
      <c r="B17" s="119" t="s">
        <v>29</v>
      </c>
      <c r="C17" s="120" t="s">
        <v>20</v>
      </c>
      <c r="D17" s="205" t="s">
        <v>815</v>
      </c>
      <c r="E17" s="111"/>
      <c r="F17" s="113"/>
      <c r="G17"/>
      <c r="H17" s="125" t="s">
        <v>32</v>
      </c>
      <c r="I17" s="205" t="s">
        <v>815</v>
      </c>
      <c r="J17" s="111"/>
      <c r="K17" s="113"/>
      <c r="L17"/>
      <c r="M17" s="125" t="s">
        <v>21</v>
      </c>
      <c r="N17" s="205" t="s">
        <v>815</v>
      </c>
      <c r="O17" s="111"/>
      <c r="P17" s="113"/>
      <c r="Q17"/>
      <c r="R17" s="8"/>
      <c r="T17" s="37" t="s">
        <v>28</v>
      </c>
      <c r="U17"/>
      <c r="V17" t="s">
        <v>28</v>
      </c>
      <c r="W17"/>
      <c r="X17" s="36"/>
      <c r="Y17" t="s">
        <v>29</v>
      </c>
      <c r="Z17"/>
      <c r="AA17"/>
      <c r="AB17" t="str">
        <f>IF(Y17=B17,"TRUE","FALSE")</f>
        <v>TRUE</v>
      </c>
      <c r="AC17"/>
      <c r="AD17"/>
      <c r="AE17"/>
    </row>
    <row r="18" spans="1:31" ht="15" x14ac:dyDescent="0.25">
      <c r="A18" s="34" t="s">
        <v>30</v>
      </c>
      <c r="B18" s="119" t="s">
        <v>31</v>
      </c>
      <c r="C18" s="120" t="s">
        <v>20</v>
      </c>
      <c r="D18" s="205" t="s">
        <v>815</v>
      </c>
      <c r="E18" s="111"/>
      <c r="F18" s="113"/>
      <c r="G18"/>
      <c r="H18" s="125" t="s">
        <v>21</v>
      </c>
      <c r="I18" s="205" t="s">
        <v>815</v>
      </c>
      <c r="J18" s="111"/>
      <c r="K18" s="113"/>
      <c r="L18"/>
      <c r="M18" s="125" t="s">
        <v>21</v>
      </c>
      <c r="N18" s="205" t="s">
        <v>815</v>
      </c>
      <c r="O18" s="111"/>
      <c r="P18" s="113"/>
      <c r="Q18"/>
      <c r="R18" s="8"/>
      <c r="T18" s="37" t="s">
        <v>30</v>
      </c>
      <c r="U18"/>
      <c r="V18" t="s">
        <v>30</v>
      </c>
      <c r="W18"/>
      <c r="X18" s="36"/>
      <c r="Y18" t="s">
        <v>31</v>
      </c>
      <c r="Z18"/>
      <c r="AA18"/>
      <c r="AB18" t="str">
        <f t="shared" si="0"/>
        <v>TRUE</v>
      </c>
      <c r="AC18"/>
      <c r="AD18"/>
      <c r="AE18"/>
    </row>
    <row r="19" spans="1:31" ht="15" x14ac:dyDescent="0.25">
      <c r="A19" s="34" t="s">
        <v>33</v>
      </c>
      <c r="B19" s="119" t="s">
        <v>34</v>
      </c>
      <c r="C19" s="120" t="s">
        <v>20</v>
      </c>
      <c r="D19" s="205" t="s">
        <v>815</v>
      </c>
      <c r="E19" s="111"/>
      <c r="F19" s="113"/>
      <c r="G19"/>
      <c r="H19" s="125" t="s">
        <v>21</v>
      </c>
      <c r="I19" s="205" t="s">
        <v>815</v>
      </c>
      <c r="J19" s="111"/>
      <c r="K19" s="113"/>
      <c r="L19"/>
      <c r="M19" s="125" t="s">
        <v>21</v>
      </c>
      <c r="N19" s="205" t="s">
        <v>815</v>
      </c>
      <c r="O19" s="111"/>
      <c r="P19" s="113"/>
      <c r="Q19"/>
      <c r="R19" s="8"/>
      <c r="T19" s="37" t="s">
        <v>33</v>
      </c>
      <c r="U19"/>
      <c r="V19" t="s">
        <v>33</v>
      </c>
      <c r="W19"/>
      <c r="X19" s="36"/>
      <c r="Y19" t="s">
        <v>34</v>
      </c>
      <c r="Z19"/>
      <c r="AA19"/>
      <c r="AB19" t="str">
        <f t="shared" si="0"/>
        <v>TRUE</v>
      </c>
      <c r="AC19"/>
      <c r="AD19"/>
      <c r="AE19"/>
    </row>
    <row r="20" spans="1:31" ht="15" x14ac:dyDescent="0.25">
      <c r="A20" s="34" t="s">
        <v>35</v>
      </c>
      <c r="B20" s="119" t="s">
        <v>36</v>
      </c>
      <c r="C20" s="120" t="s">
        <v>20</v>
      </c>
      <c r="D20" s="205" t="s">
        <v>815</v>
      </c>
      <c r="E20" s="111"/>
      <c r="F20" s="113"/>
      <c r="G20"/>
      <c r="H20" s="125" t="s">
        <v>21</v>
      </c>
      <c r="I20" s="205" t="s">
        <v>815</v>
      </c>
      <c r="J20" s="111"/>
      <c r="K20" s="113"/>
      <c r="L20"/>
      <c r="M20" s="125" t="s">
        <v>21</v>
      </c>
      <c r="N20" s="205" t="s">
        <v>815</v>
      </c>
      <c r="O20" s="111"/>
      <c r="P20" s="113"/>
      <c r="Q20"/>
      <c r="R20" s="8"/>
      <c r="T20" s="37" t="s">
        <v>35</v>
      </c>
      <c r="U20"/>
      <c r="V20" t="s">
        <v>35</v>
      </c>
      <c r="W20"/>
      <c r="X20" s="36"/>
      <c r="Y20" s="108" t="s">
        <v>36</v>
      </c>
      <c r="Z20"/>
      <c r="AA20"/>
      <c r="AB20" t="str">
        <f t="shared" si="0"/>
        <v>TRUE</v>
      </c>
      <c r="AC20"/>
      <c r="AD20"/>
      <c r="AE20"/>
    </row>
    <row r="21" spans="1:31" ht="15" x14ac:dyDescent="0.25">
      <c r="A21" s="34" t="s">
        <v>37</v>
      </c>
      <c r="B21" s="119" t="s">
        <v>38</v>
      </c>
      <c r="C21" s="120" t="s">
        <v>20</v>
      </c>
      <c r="D21" s="204" t="s">
        <v>816</v>
      </c>
      <c r="E21" s="111"/>
      <c r="F21" s="113"/>
      <c r="G21"/>
      <c r="H21" s="125" t="s">
        <v>21</v>
      </c>
      <c r="I21" s="204" t="s">
        <v>816</v>
      </c>
      <c r="J21" s="111"/>
      <c r="K21" s="113"/>
      <c r="L21"/>
      <c r="M21" s="125" t="s">
        <v>21</v>
      </c>
      <c r="N21" s="205" t="s">
        <v>815</v>
      </c>
      <c r="O21" s="111"/>
      <c r="P21" s="113"/>
      <c r="Q21"/>
      <c r="R21" s="8"/>
      <c r="T21" s="37" t="s">
        <v>37</v>
      </c>
      <c r="U21"/>
      <c r="V21" t="s">
        <v>37</v>
      </c>
      <c r="W21"/>
      <c r="X21" s="36"/>
      <c r="Y21" t="s">
        <v>38</v>
      </c>
      <c r="Z21"/>
      <c r="AA21"/>
      <c r="AB21" t="str">
        <f t="shared" si="0"/>
        <v>TRUE</v>
      </c>
      <c r="AC21"/>
      <c r="AD21"/>
      <c r="AE21"/>
    </row>
    <row r="22" spans="1:31" ht="15" x14ac:dyDescent="0.25">
      <c r="A22" s="34" t="s">
        <v>39</v>
      </c>
      <c r="B22" s="119" t="s">
        <v>40</v>
      </c>
      <c r="C22" s="120" t="s">
        <v>20</v>
      </c>
      <c r="D22" s="205" t="s">
        <v>815</v>
      </c>
      <c r="E22" s="111"/>
      <c r="F22" s="113"/>
      <c r="G22"/>
      <c r="H22" s="125" t="s">
        <v>21</v>
      </c>
      <c r="I22" s="205" t="s">
        <v>815</v>
      </c>
      <c r="J22" s="111"/>
      <c r="K22" s="113"/>
      <c r="L22"/>
      <c r="M22" s="125" t="s">
        <v>21</v>
      </c>
      <c r="N22" s="205" t="s">
        <v>815</v>
      </c>
      <c r="O22" s="111"/>
      <c r="P22" s="113"/>
      <c r="Q22"/>
      <c r="R22" s="8"/>
      <c r="T22" s="37" t="s">
        <v>39</v>
      </c>
      <c r="U22"/>
      <c r="V22" t="s">
        <v>39</v>
      </c>
      <c r="W22"/>
      <c r="X22" s="36"/>
      <c r="Y22" t="s">
        <v>40</v>
      </c>
      <c r="Z22"/>
      <c r="AA22"/>
      <c r="AB22" t="str">
        <f t="shared" si="0"/>
        <v>TRUE</v>
      </c>
      <c r="AC22"/>
      <c r="AD22"/>
      <c r="AE22"/>
    </row>
    <row r="23" spans="1:31" ht="15" x14ac:dyDescent="0.25">
      <c r="A23" s="34" t="s">
        <v>41</v>
      </c>
      <c r="B23" s="119" t="s">
        <v>42</v>
      </c>
      <c r="C23" s="120" t="s">
        <v>20</v>
      </c>
      <c r="D23" s="205" t="s">
        <v>815</v>
      </c>
      <c r="E23" s="111"/>
      <c r="F23" s="113"/>
      <c r="G23"/>
      <c r="H23" s="125" t="s">
        <v>21</v>
      </c>
      <c r="I23" s="205" t="s">
        <v>815</v>
      </c>
      <c r="J23" s="111"/>
      <c r="K23" s="113"/>
      <c r="L23"/>
      <c r="M23" s="125" t="s">
        <v>21</v>
      </c>
      <c r="N23" s="205" t="s">
        <v>815</v>
      </c>
      <c r="O23" s="111"/>
      <c r="P23" s="113"/>
      <c r="Q23"/>
      <c r="R23" s="8"/>
      <c r="T23" s="37" t="s">
        <v>41</v>
      </c>
      <c r="U23"/>
      <c r="V23" t="s">
        <v>41</v>
      </c>
      <c r="W23"/>
      <c r="X23" s="36"/>
      <c r="Y23" t="s">
        <v>42</v>
      </c>
      <c r="Z23"/>
      <c r="AA23"/>
      <c r="AB23" t="str">
        <f t="shared" si="0"/>
        <v>TRUE</v>
      </c>
      <c r="AC23"/>
      <c r="AD23"/>
      <c r="AE23"/>
    </row>
    <row r="24" spans="1:31" ht="15" x14ac:dyDescent="0.25">
      <c r="A24" s="34" t="s">
        <v>43</v>
      </c>
      <c r="B24" s="119" t="s">
        <v>44</v>
      </c>
      <c r="C24" s="120" t="s">
        <v>20</v>
      </c>
      <c r="D24" s="205" t="s">
        <v>815</v>
      </c>
      <c r="E24" s="111"/>
      <c r="F24" s="113"/>
      <c r="G24"/>
      <c r="H24" s="125" t="s">
        <v>21</v>
      </c>
      <c r="I24" s="205" t="s">
        <v>815</v>
      </c>
      <c r="J24" s="111"/>
      <c r="K24" s="113"/>
      <c r="L24"/>
      <c r="M24" s="125" t="s">
        <v>851</v>
      </c>
      <c r="N24" s="205" t="s">
        <v>815</v>
      </c>
      <c r="O24" s="111"/>
      <c r="P24" s="113"/>
      <c r="Q24"/>
      <c r="R24" s="8"/>
      <c r="T24" s="37" t="s">
        <v>43</v>
      </c>
      <c r="U24"/>
      <c r="V24" t="s">
        <v>43</v>
      </c>
      <c r="W24"/>
      <c r="X24" s="36"/>
      <c r="Y24" t="s">
        <v>44</v>
      </c>
      <c r="Z24"/>
      <c r="AA24"/>
      <c r="AB24" t="str">
        <f t="shared" si="0"/>
        <v>TRUE</v>
      </c>
      <c r="AC24"/>
      <c r="AD24"/>
      <c r="AE24"/>
    </row>
    <row r="25" spans="1:31" ht="15" x14ac:dyDescent="0.25">
      <c r="A25" s="34" t="s">
        <v>45</v>
      </c>
      <c r="B25" s="119" t="s">
        <v>46</v>
      </c>
      <c r="C25" s="120" t="s">
        <v>20</v>
      </c>
      <c r="D25" s="204" t="s">
        <v>816</v>
      </c>
      <c r="E25" s="111"/>
      <c r="F25" s="113"/>
      <c r="G25"/>
      <c r="H25" s="125" t="s">
        <v>21</v>
      </c>
      <c r="I25" s="205" t="s">
        <v>815</v>
      </c>
      <c r="J25" s="111"/>
      <c r="K25" s="113"/>
      <c r="L25"/>
      <c r="M25" s="125" t="s">
        <v>21</v>
      </c>
      <c r="N25" s="205" t="s">
        <v>815</v>
      </c>
      <c r="O25" s="111"/>
      <c r="P25" s="113"/>
      <c r="Q25"/>
      <c r="R25" s="8"/>
      <c r="T25" s="37" t="s">
        <v>45</v>
      </c>
      <c r="U25"/>
      <c r="V25" t="s">
        <v>45</v>
      </c>
      <c r="W25"/>
      <c r="X25" s="36"/>
      <c r="Y25" t="s">
        <v>46</v>
      </c>
      <c r="Z25"/>
      <c r="AA25"/>
      <c r="AB25" t="str">
        <f t="shared" si="0"/>
        <v>TRUE</v>
      </c>
      <c r="AC25"/>
      <c r="AD25"/>
      <c r="AE25"/>
    </row>
    <row r="26" spans="1:31" ht="15" x14ac:dyDescent="0.25">
      <c r="A26" s="34" t="s">
        <v>47</v>
      </c>
      <c r="B26" s="119" t="s">
        <v>48</v>
      </c>
      <c r="C26" s="120" t="s">
        <v>20</v>
      </c>
      <c r="D26" s="204" t="s">
        <v>816</v>
      </c>
      <c r="E26" s="111"/>
      <c r="F26" s="113"/>
      <c r="G26"/>
      <c r="H26" s="125" t="s">
        <v>21</v>
      </c>
      <c r="I26" s="204" t="s">
        <v>816</v>
      </c>
      <c r="J26" s="111"/>
      <c r="K26" s="113"/>
      <c r="L26"/>
      <c r="M26" s="125" t="s">
        <v>21</v>
      </c>
      <c r="N26" s="204" t="s">
        <v>816</v>
      </c>
      <c r="O26" s="111"/>
      <c r="P26" s="113"/>
      <c r="Q26"/>
      <c r="R26" s="8"/>
      <c r="T26" s="37" t="s">
        <v>47</v>
      </c>
      <c r="U26"/>
      <c r="V26" t="s">
        <v>47</v>
      </c>
      <c r="W26"/>
      <c r="X26" s="36"/>
      <c r="Y26" t="s">
        <v>48</v>
      </c>
      <c r="Z26"/>
      <c r="AA26"/>
      <c r="AB26" t="str">
        <f t="shared" si="0"/>
        <v>TRUE</v>
      </c>
      <c r="AC26"/>
      <c r="AD26"/>
      <c r="AE26"/>
    </row>
    <row r="27" spans="1:31" ht="15" x14ac:dyDescent="0.25">
      <c r="A27" s="34" t="s">
        <v>49</v>
      </c>
      <c r="B27" s="119" t="s">
        <v>50</v>
      </c>
      <c r="C27" s="120" t="s">
        <v>20</v>
      </c>
      <c r="D27" s="205" t="s">
        <v>815</v>
      </c>
      <c r="E27" s="111"/>
      <c r="F27" s="113"/>
      <c r="G27"/>
      <c r="H27" s="125" t="s">
        <v>21</v>
      </c>
      <c r="I27" s="205" t="s">
        <v>815</v>
      </c>
      <c r="J27" s="111"/>
      <c r="K27" s="113"/>
      <c r="L27"/>
      <c r="M27" s="125" t="s">
        <v>851</v>
      </c>
      <c r="N27" s="205" t="s">
        <v>815</v>
      </c>
      <c r="O27" s="111"/>
      <c r="P27" s="113"/>
      <c r="Q27"/>
      <c r="R27" s="8"/>
      <c r="T27" s="37" t="s">
        <v>49</v>
      </c>
      <c r="U27"/>
      <c r="V27" t="s">
        <v>49</v>
      </c>
      <c r="W27"/>
      <c r="X27" s="36"/>
      <c r="Y27" t="s">
        <v>50</v>
      </c>
      <c r="Z27"/>
      <c r="AA27"/>
      <c r="AB27" t="str">
        <f t="shared" si="0"/>
        <v>TRUE</v>
      </c>
      <c r="AC27"/>
      <c r="AD27"/>
      <c r="AE27"/>
    </row>
    <row r="28" spans="1:31" ht="15" x14ac:dyDescent="0.25">
      <c r="A28" s="34" t="s">
        <v>51</v>
      </c>
      <c r="B28" s="119" t="s">
        <v>52</v>
      </c>
      <c r="C28" s="120" t="s">
        <v>20</v>
      </c>
      <c r="D28" s="204" t="s">
        <v>816</v>
      </c>
      <c r="E28" s="111"/>
      <c r="F28" s="113"/>
      <c r="G28"/>
      <c r="H28" s="125" t="s">
        <v>21</v>
      </c>
      <c r="I28" s="205" t="s">
        <v>815</v>
      </c>
      <c r="J28" s="111"/>
      <c r="K28" s="113"/>
      <c r="L28"/>
      <c r="M28" s="125" t="s">
        <v>851</v>
      </c>
      <c r="N28" s="205" t="s">
        <v>815</v>
      </c>
      <c r="O28" s="111"/>
      <c r="P28" s="113"/>
      <c r="Q28"/>
      <c r="R28" s="8"/>
      <c r="T28" s="37" t="s">
        <v>51</v>
      </c>
      <c r="U28"/>
      <c r="V28" t="s">
        <v>51</v>
      </c>
      <c r="W28"/>
      <c r="X28" s="36"/>
      <c r="Y28" t="s">
        <v>52</v>
      </c>
      <c r="Z28"/>
      <c r="AA28"/>
      <c r="AB28" t="str">
        <f t="shared" si="0"/>
        <v>TRUE</v>
      </c>
      <c r="AC28"/>
      <c r="AD28"/>
      <c r="AE28"/>
    </row>
    <row r="29" spans="1:31" ht="15" x14ac:dyDescent="0.25">
      <c r="A29" s="34" t="s">
        <v>53</v>
      </c>
      <c r="B29" s="119" t="s">
        <v>54</v>
      </c>
      <c r="C29" s="120" t="s">
        <v>20</v>
      </c>
      <c r="D29" s="205" t="s">
        <v>815</v>
      </c>
      <c r="E29" s="111"/>
      <c r="F29" s="113"/>
      <c r="G29"/>
      <c r="H29" s="125" t="s">
        <v>21</v>
      </c>
      <c r="I29" s="205" t="s">
        <v>815</v>
      </c>
      <c r="J29" s="111"/>
      <c r="K29" s="113"/>
      <c r="L29"/>
      <c r="M29" s="125" t="s">
        <v>21</v>
      </c>
      <c r="N29" s="205" t="s">
        <v>815</v>
      </c>
      <c r="O29" s="111"/>
      <c r="P29" s="113"/>
      <c r="Q29"/>
      <c r="R29" s="8"/>
      <c r="T29" s="37" t="s">
        <v>53</v>
      </c>
      <c r="U29"/>
      <c r="V29" t="s">
        <v>53</v>
      </c>
      <c r="W29"/>
      <c r="X29" s="36"/>
      <c r="Y29" t="s">
        <v>54</v>
      </c>
      <c r="Z29"/>
      <c r="AA29"/>
      <c r="AB29" t="str">
        <f t="shared" si="0"/>
        <v>TRUE</v>
      </c>
      <c r="AC29"/>
      <c r="AD29"/>
      <c r="AE29"/>
    </row>
    <row r="30" spans="1:31" ht="15" x14ac:dyDescent="0.25">
      <c r="A30" s="38" t="s">
        <v>55</v>
      </c>
      <c r="B30" s="119" t="s">
        <v>56</v>
      </c>
      <c r="C30" s="120" t="s">
        <v>20</v>
      </c>
      <c r="D30" s="204" t="s">
        <v>816</v>
      </c>
      <c r="E30" s="111"/>
      <c r="F30" s="113"/>
      <c r="G30"/>
      <c r="H30" s="125" t="s">
        <v>21</v>
      </c>
      <c r="I30" s="204" t="s">
        <v>816</v>
      </c>
      <c r="J30" s="111"/>
      <c r="K30" s="113"/>
      <c r="L30"/>
      <c r="M30" s="125" t="s">
        <v>21</v>
      </c>
      <c r="N30" s="205" t="s">
        <v>815</v>
      </c>
      <c r="O30" s="111"/>
      <c r="P30" s="113"/>
      <c r="Q30"/>
      <c r="R30" s="8"/>
      <c r="T30" s="37" t="s">
        <v>55</v>
      </c>
      <c r="U30"/>
      <c r="V30" t="s">
        <v>55</v>
      </c>
      <c r="W30"/>
      <c r="X30" s="36"/>
      <c r="Y30" t="s">
        <v>56</v>
      </c>
      <c r="Z30"/>
      <c r="AA30"/>
      <c r="AB30" t="str">
        <f t="shared" si="0"/>
        <v>TRUE</v>
      </c>
      <c r="AC30"/>
      <c r="AD30"/>
      <c r="AE30"/>
    </row>
    <row r="31" spans="1:31" ht="15" x14ac:dyDescent="0.25">
      <c r="A31" s="34" t="s">
        <v>57</v>
      </c>
      <c r="B31" s="119" t="s">
        <v>58</v>
      </c>
      <c r="C31" s="120" t="s">
        <v>20</v>
      </c>
      <c r="D31" s="205" t="s">
        <v>815</v>
      </c>
      <c r="E31" s="111"/>
      <c r="F31" s="113"/>
      <c r="G31"/>
      <c r="H31" s="125" t="s">
        <v>21</v>
      </c>
      <c r="I31" s="205" t="s">
        <v>815</v>
      </c>
      <c r="J31" s="111"/>
      <c r="K31" s="113"/>
      <c r="L31"/>
      <c r="M31" s="125" t="s">
        <v>21</v>
      </c>
      <c r="N31" s="205" t="s">
        <v>815</v>
      </c>
      <c r="O31" s="111"/>
      <c r="P31" s="113"/>
      <c r="Q31"/>
      <c r="R31" s="8"/>
      <c r="T31" s="37" t="s">
        <v>57</v>
      </c>
      <c r="U31"/>
      <c r="V31" t="s">
        <v>57</v>
      </c>
      <c r="W31"/>
      <c r="X31" s="36"/>
      <c r="Y31" t="s">
        <v>58</v>
      </c>
      <c r="Z31"/>
      <c r="AA31"/>
      <c r="AB31" t="str">
        <f t="shared" si="0"/>
        <v>TRUE</v>
      </c>
      <c r="AC31"/>
      <c r="AD31"/>
      <c r="AE31"/>
    </row>
    <row r="32" spans="1:31" ht="15" x14ac:dyDescent="0.25">
      <c r="A32" s="34" t="s">
        <v>59</v>
      </c>
      <c r="B32" s="119" t="s">
        <v>60</v>
      </c>
      <c r="C32" s="120" t="s">
        <v>20</v>
      </c>
      <c r="D32" s="204" t="s">
        <v>816</v>
      </c>
      <c r="E32" s="111"/>
      <c r="F32" s="113"/>
      <c r="G32"/>
      <c r="H32" s="125" t="s">
        <v>21</v>
      </c>
      <c r="I32" s="205" t="s">
        <v>815</v>
      </c>
      <c r="J32" s="111"/>
      <c r="K32" s="113"/>
      <c r="L32"/>
      <c r="M32" s="125" t="s">
        <v>851</v>
      </c>
      <c r="N32" s="205" t="s">
        <v>815</v>
      </c>
      <c r="O32" s="111"/>
      <c r="P32" s="113"/>
      <c r="Q32"/>
      <c r="R32" s="8"/>
      <c r="T32" s="37" t="s">
        <v>59</v>
      </c>
      <c r="U32"/>
      <c r="V32" t="s">
        <v>59</v>
      </c>
      <c r="W32"/>
      <c r="X32" s="36"/>
      <c r="Y32" t="s">
        <v>60</v>
      </c>
      <c r="Z32"/>
      <c r="AA32"/>
      <c r="AB32" t="str">
        <f t="shared" si="0"/>
        <v>TRUE</v>
      </c>
      <c r="AC32"/>
      <c r="AD32"/>
      <c r="AE32"/>
    </row>
    <row r="33" spans="1:31" ht="15" x14ac:dyDescent="0.25">
      <c r="A33" s="34" t="s">
        <v>61</v>
      </c>
      <c r="B33" s="119" t="s">
        <v>62</v>
      </c>
      <c r="C33" s="120" t="s">
        <v>20</v>
      </c>
      <c r="D33" s="205" t="s">
        <v>815</v>
      </c>
      <c r="E33" s="111"/>
      <c r="F33" s="113"/>
      <c r="G33"/>
      <c r="H33" s="125" t="s">
        <v>21</v>
      </c>
      <c r="I33" s="205" t="s">
        <v>815</v>
      </c>
      <c r="J33" s="111"/>
      <c r="K33" s="113"/>
      <c r="L33"/>
      <c r="M33" s="125" t="s">
        <v>21</v>
      </c>
      <c r="N33" s="205" t="s">
        <v>815</v>
      </c>
      <c r="O33" s="111"/>
      <c r="P33" s="113"/>
      <c r="Q33"/>
      <c r="R33" s="8"/>
      <c r="T33" s="37" t="s">
        <v>61</v>
      </c>
      <c r="U33"/>
      <c r="V33" t="s">
        <v>61</v>
      </c>
      <c r="W33"/>
      <c r="X33" s="36"/>
      <c r="Y33" t="s">
        <v>62</v>
      </c>
      <c r="Z33"/>
      <c r="AA33"/>
      <c r="AB33" t="str">
        <f t="shared" si="0"/>
        <v>TRUE</v>
      </c>
      <c r="AC33"/>
      <c r="AD33"/>
      <c r="AE33"/>
    </row>
    <row r="34" spans="1:31" ht="15" x14ac:dyDescent="0.25">
      <c r="A34" s="38" t="s">
        <v>63</v>
      </c>
      <c r="B34" s="119" t="s">
        <v>64</v>
      </c>
      <c r="C34" s="120" t="s">
        <v>20</v>
      </c>
      <c r="D34" s="205" t="s">
        <v>815</v>
      </c>
      <c r="E34" s="111"/>
      <c r="F34" s="113"/>
      <c r="G34"/>
      <c r="H34" s="125" t="s">
        <v>21</v>
      </c>
      <c r="I34" s="205" t="s">
        <v>815</v>
      </c>
      <c r="J34" s="111"/>
      <c r="K34" s="113"/>
      <c r="L34"/>
      <c r="M34" s="125" t="s">
        <v>21</v>
      </c>
      <c r="N34" s="205" t="s">
        <v>815</v>
      </c>
      <c r="O34" s="111"/>
      <c r="P34" s="113"/>
      <c r="Q34"/>
      <c r="R34" s="8"/>
      <c r="T34" s="37" t="s">
        <v>63</v>
      </c>
      <c r="U34"/>
      <c r="V34" t="s">
        <v>63</v>
      </c>
      <c r="W34"/>
      <c r="X34" s="36"/>
      <c r="Y34" t="s">
        <v>64</v>
      </c>
      <c r="Z34"/>
      <c r="AA34"/>
      <c r="AB34" t="str">
        <f t="shared" si="0"/>
        <v>TRUE</v>
      </c>
      <c r="AC34"/>
      <c r="AD34"/>
      <c r="AE34"/>
    </row>
    <row r="35" spans="1:31" ht="15" x14ac:dyDescent="0.25">
      <c r="A35" s="34" t="s">
        <v>65</v>
      </c>
      <c r="B35" s="119" t="s">
        <v>66</v>
      </c>
      <c r="C35" s="120" t="s">
        <v>20</v>
      </c>
      <c r="D35" s="205" t="s">
        <v>815</v>
      </c>
      <c r="E35" s="111"/>
      <c r="F35" s="113"/>
      <c r="G35"/>
      <c r="H35" s="125" t="s">
        <v>21</v>
      </c>
      <c r="I35" s="205" t="s">
        <v>815</v>
      </c>
      <c r="J35" s="111"/>
      <c r="K35" s="113"/>
      <c r="L35"/>
      <c r="M35" s="125" t="s">
        <v>21</v>
      </c>
      <c r="N35" s="205" t="s">
        <v>815</v>
      </c>
      <c r="O35" s="111"/>
      <c r="P35" s="113"/>
      <c r="Q35"/>
      <c r="R35" s="8"/>
      <c r="T35" s="37" t="s">
        <v>65</v>
      </c>
      <c r="U35"/>
      <c r="V35" t="s">
        <v>65</v>
      </c>
      <c r="W35"/>
      <c r="X35" s="36"/>
      <c r="Y35" t="s">
        <v>66</v>
      </c>
      <c r="Z35"/>
      <c r="AA35"/>
      <c r="AB35" t="str">
        <f t="shared" si="0"/>
        <v>TRUE</v>
      </c>
      <c r="AC35"/>
      <c r="AD35"/>
      <c r="AE35"/>
    </row>
    <row r="36" spans="1:31" ht="15" x14ac:dyDescent="0.25">
      <c r="A36" s="38" t="s">
        <v>67</v>
      </c>
      <c r="B36" s="119" t="s">
        <v>68</v>
      </c>
      <c r="C36" s="120" t="s">
        <v>20</v>
      </c>
      <c r="D36" s="205" t="s">
        <v>815</v>
      </c>
      <c r="E36" s="111"/>
      <c r="F36" s="113"/>
      <c r="G36"/>
      <c r="H36" s="125" t="s">
        <v>21</v>
      </c>
      <c r="I36" s="205" t="s">
        <v>815</v>
      </c>
      <c r="J36" s="111"/>
      <c r="K36" s="113"/>
      <c r="L36"/>
      <c r="M36" s="125" t="s">
        <v>21</v>
      </c>
      <c r="N36" s="205" t="s">
        <v>815</v>
      </c>
      <c r="O36" s="111"/>
      <c r="P36" s="113"/>
      <c r="Q36"/>
      <c r="R36" s="8"/>
      <c r="T36" s="37" t="s">
        <v>67</v>
      </c>
      <c r="U36"/>
      <c r="V36" t="s">
        <v>67</v>
      </c>
      <c r="W36"/>
      <c r="X36" s="36"/>
      <c r="Y36" t="s">
        <v>68</v>
      </c>
      <c r="Z36"/>
      <c r="AA36"/>
      <c r="AB36" t="str">
        <f t="shared" si="0"/>
        <v>TRUE</v>
      </c>
      <c r="AC36"/>
      <c r="AD36"/>
      <c r="AE36"/>
    </row>
    <row r="37" spans="1:31" ht="15" x14ac:dyDescent="0.25">
      <c r="A37" s="34" t="s">
        <v>69</v>
      </c>
      <c r="B37" s="119" t="s">
        <v>70</v>
      </c>
      <c r="C37" s="120" t="s">
        <v>20</v>
      </c>
      <c r="D37" s="204" t="s">
        <v>816</v>
      </c>
      <c r="E37" s="111"/>
      <c r="F37" s="113"/>
      <c r="G37"/>
      <c r="H37" s="125" t="s">
        <v>21</v>
      </c>
      <c r="I37" s="205" t="s">
        <v>815</v>
      </c>
      <c r="J37" s="111"/>
      <c r="K37" s="113"/>
      <c r="L37"/>
      <c r="M37" s="125" t="s">
        <v>21</v>
      </c>
      <c r="N37" s="205" t="s">
        <v>815</v>
      </c>
      <c r="O37" s="111"/>
      <c r="P37" s="113"/>
      <c r="Q37"/>
      <c r="R37" s="8"/>
      <c r="T37" s="37" t="s">
        <v>69</v>
      </c>
      <c r="U37"/>
      <c r="V37" t="s">
        <v>69</v>
      </c>
      <c r="W37"/>
      <c r="X37" s="36"/>
      <c r="Y37" t="s">
        <v>70</v>
      </c>
      <c r="Z37"/>
      <c r="AA37"/>
      <c r="AB37" t="str">
        <f t="shared" si="0"/>
        <v>TRUE</v>
      </c>
      <c r="AC37"/>
      <c r="AD37"/>
      <c r="AE37"/>
    </row>
    <row r="38" spans="1:31" ht="15" x14ac:dyDescent="0.25">
      <c r="A38" s="34" t="s">
        <v>71</v>
      </c>
      <c r="B38" s="119" t="s">
        <v>72</v>
      </c>
      <c r="C38" s="120" t="s">
        <v>20</v>
      </c>
      <c r="D38" s="205" t="s">
        <v>815</v>
      </c>
      <c r="E38" s="111"/>
      <c r="F38" s="113"/>
      <c r="G38"/>
      <c r="H38" s="125" t="s">
        <v>21</v>
      </c>
      <c r="I38" s="205" t="s">
        <v>815</v>
      </c>
      <c r="J38" s="111"/>
      <c r="K38" s="113"/>
      <c r="L38"/>
      <c r="M38" s="125" t="s">
        <v>21</v>
      </c>
      <c r="N38" s="205" t="s">
        <v>815</v>
      </c>
      <c r="O38" s="111"/>
      <c r="P38" s="113"/>
      <c r="Q38"/>
      <c r="R38" s="8"/>
      <c r="T38" s="37" t="s">
        <v>71</v>
      </c>
      <c r="U38"/>
      <c r="V38" t="s">
        <v>71</v>
      </c>
      <c r="W38"/>
      <c r="X38" s="36"/>
      <c r="Y38" t="s">
        <v>72</v>
      </c>
      <c r="Z38"/>
      <c r="AA38"/>
      <c r="AB38" t="str">
        <f t="shared" si="0"/>
        <v>TRUE</v>
      </c>
      <c r="AC38"/>
      <c r="AD38"/>
      <c r="AE38"/>
    </row>
    <row r="39" spans="1:31" ht="15.75" thickBot="1" x14ac:dyDescent="0.3">
      <c r="A39" s="38" t="s">
        <v>73</v>
      </c>
      <c r="B39" s="121" t="s">
        <v>461</v>
      </c>
      <c r="C39" s="122" t="s">
        <v>20</v>
      </c>
      <c r="D39" s="204" t="s">
        <v>816</v>
      </c>
      <c r="E39" s="115"/>
      <c r="F39" s="116"/>
      <c r="G39"/>
      <c r="H39" s="126" t="s">
        <v>21</v>
      </c>
      <c r="I39" s="204" t="s">
        <v>816</v>
      </c>
      <c r="J39" s="115"/>
      <c r="K39" s="116"/>
      <c r="L39"/>
      <c r="M39" s="126" t="s">
        <v>851</v>
      </c>
      <c r="N39" s="204" t="s">
        <v>816</v>
      </c>
      <c r="O39" s="115"/>
      <c r="P39" s="116"/>
      <c r="Q39"/>
      <c r="R39" s="8"/>
      <c r="T39" s="39" t="s">
        <v>73</v>
      </c>
      <c r="U39"/>
      <c r="V39" t="s">
        <v>73</v>
      </c>
      <c r="W39"/>
      <c r="X39" s="36"/>
      <c r="Y39" t="s">
        <v>461</v>
      </c>
      <c r="Z39"/>
      <c r="AA39"/>
      <c r="AB39" t="str">
        <f t="shared" si="0"/>
        <v>TRUE</v>
      </c>
      <c r="AC39"/>
      <c r="AD39"/>
      <c r="AE39"/>
    </row>
    <row r="40" spans="1:31" ht="15.75" thickBot="1" x14ac:dyDescent="0.3">
      <c r="A40" s="38" t="s">
        <v>73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 s="8"/>
      <c r="T40"/>
      <c r="U40"/>
      <c r="V40"/>
      <c r="W40"/>
      <c r="X40" s="36"/>
      <c r="Y40"/>
      <c r="Z40"/>
      <c r="AA40"/>
      <c r="AB40"/>
      <c r="AC40"/>
      <c r="AD40"/>
      <c r="AE40"/>
    </row>
    <row r="41" spans="1:31" ht="15" customHeight="1" thickBot="1" x14ac:dyDescent="0.3">
      <c r="A41" s="40"/>
      <c r="B41" s="165" t="s">
        <v>462</v>
      </c>
      <c r="C41" s="166" t="s">
        <v>20</v>
      </c>
      <c r="D41" s="166" t="s">
        <v>463</v>
      </c>
      <c r="E41" s="167"/>
      <c r="F41" s="168"/>
      <c r="G41"/>
      <c r="H41" s="169" t="s">
        <v>32</v>
      </c>
      <c r="I41" s="166" t="s">
        <v>463</v>
      </c>
      <c r="J41" s="167"/>
      <c r="K41" s="168"/>
      <c r="L41" s="8"/>
      <c r="M41" s="169" t="s">
        <v>21</v>
      </c>
      <c r="N41" s="166" t="s">
        <v>463</v>
      </c>
      <c r="O41" s="167"/>
      <c r="P41" s="168"/>
      <c r="Q41" s="8"/>
      <c r="R41" s="8"/>
      <c r="S41" s="8"/>
      <c r="T41" s="8"/>
      <c r="U41" s="8"/>
      <c r="V41" s="8"/>
      <c r="W41" s="8"/>
      <c r="X41" s="8"/>
      <c r="Y41" t="s">
        <v>483</v>
      </c>
      <c r="Z41"/>
      <c r="AA41"/>
      <c r="AB41" t="str">
        <f>IF(Y41=B41,"TRUE","FALSE")</f>
        <v>FALSE</v>
      </c>
      <c r="AC41"/>
      <c r="AD41"/>
      <c r="AE41"/>
    </row>
    <row r="42" spans="1:31" ht="25.5" customHeight="1" x14ac:dyDescent="0.25">
      <c r="B42" s="42"/>
      <c r="C42" s="43"/>
      <c r="D42" s="43"/>
      <c r="E42" s="43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/>
      <c r="Z42"/>
      <c r="AA42"/>
      <c r="AB42"/>
      <c r="AC42"/>
      <c r="AD42"/>
      <c r="AE42"/>
    </row>
    <row r="43" spans="1:31" ht="11.25" customHeight="1" thickBot="1" x14ac:dyDescent="0.3">
      <c r="B43" s="42"/>
      <c r="C43" s="43"/>
      <c r="D43" s="43"/>
      <c r="E43" s="43"/>
      <c r="F43" s="8"/>
      <c r="G43" s="8"/>
      <c r="H43" s="8"/>
      <c r="I43" s="8"/>
      <c r="J43" s="8"/>
      <c r="K43" s="8"/>
      <c r="L43" s="8"/>
      <c r="M43" s="44"/>
      <c r="N43" s="44"/>
      <c r="O43" s="8"/>
      <c r="P43" s="8"/>
      <c r="Q43" s="8"/>
      <c r="R43" s="8"/>
      <c r="S43" s="8"/>
      <c r="T43" s="8"/>
      <c r="U43" s="8"/>
      <c r="V43" s="8"/>
      <c r="W43" s="8"/>
      <c r="X43" s="8"/>
      <c r="Y43"/>
      <c r="Z43"/>
      <c r="AA43"/>
      <c r="AB43"/>
      <c r="AC43"/>
      <c r="AD43"/>
      <c r="AE43"/>
    </row>
    <row r="44" spans="1:31" ht="11.25" customHeight="1" thickBot="1" x14ac:dyDescent="0.3">
      <c r="B44" s="140" t="s">
        <v>464</v>
      </c>
      <c r="C44" s="141" t="s">
        <v>465</v>
      </c>
      <c r="D44" s="141" t="s">
        <v>466</v>
      </c>
      <c r="E44" s="265" t="s">
        <v>467</v>
      </c>
      <c r="F44" s="265"/>
      <c r="G44" s="8"/>
      <c r="H44" s="8"/>
      <c r="I44" s="8"/>
      <c r="J44" s="8"/>
      <c r="K44" s="8"/>
      <c r="L44" s="8"/>
      <c r="M44" s="308" t="s">
        <v>74</v>
      </c>
      <c r="N44" s="308"/>
      <c r="O44" s="222" t="s">
        <v>75</v>
      </c>
      <c r="P44" s="223" t="s">
        <v>76</v>
      </c>
      <c r="Q44"/>
      <c r="R44" s="8"/>
      <c r="S44" s="8"/>
      <c r="T44" s="8"/>
      <c r="U44" s="8"/>
      <c r="V44" s="8"/>
      <c r="W44" s="8"/>
      <c r="X44" s="8"/>
      <c r="Y44"/>
      <c r="Z44"/>
      <c r="AA44"/>
      <c r="AB44"/>
      <c r="AC44"/>
      <c r="AD44"/>
      <c r="AE44"/>
    </row>
    <row r="45" spans="1:31" ht="23.25" customHeight="1" thickBot="1" x14ac:dyDescent="0.3">
      <c r="B45" s="140" t="s">
        <v>468</v>
      </c>
      <c r="C45" s="142"/>
      <c r="D45" s="142"/>
      <c r="E45" s="275"/>
      <c r="F45" s="275"/>
      <c r="M45" s="309" t="s">
        <v>77</v>
      </c>
      <c r="N45" s="310"/>
      <c r="O45" s="170">
        <f>SUM(E13:E41,J13:J41,O13:O41,E60:E71,J60:J71,O60:O71,E76:E98,O76:O99,E110:E152,O110:O146,E163:E195,O163:O188)</f>
        <v>0</v>
      </c>
      <c r="P45" s="171">
        <f>SUM(F13:F41,K13:K41,P13:P41,F60:F71,K60:K71,P60:P71,F76:F98,P76:P99,F110:F152,P110:P146,F163:F195,P163:P188)</f>
        <v>0</v>
      </c>
      <c r="Q45"/>
      <c r="R45" s="46"/>
      <c r="S45" s="47"/>
      <c r="T45" s="47"/>
      <c r="U45" s="46"/>
      <c r="V45" s="47"/>
      <c r="W45" s="47"/>
      <c r="X45" s="46"/>
      <c r="Y45"/>
      <c r="Z45"/>
      <c r="AA45"/>
      <c r="AB45"/>
      <c r="AC45"/>
      <c r="AD45"/>
      <c r="AE45"/>
    </row>
    <row r="46" spans="1:31" ht="31.5" customHeight="1" x14ac:dyDescent="0.25">
      <c r="B46" s="7"/>
      <c r="C46" s="8"/>
      <c r="D46" s="8"/>
      <c r="E46" s="8"/>
      <c r="M46" s="48"/>
      <c r="N46" s="48"/>
      <c r="O46" s="49"/>
      <c r="P46" s="50"/>
      <c r="Q46" s="51"/>
      <c r="R46" s="46"/>
      <c r="S46" s="47"/>
      <c r="T46" s="47"/>
      <c r="U46" s="46"/>
      <c r="V46" s="47"/>
      <c r="W46" s="47"/>
      <c r="X46" s="46"/>
      <c r="Y46"/>
      <c r="Z46"/>
      <c r="AA46"/>
      <c r="AB46"/>
      <c r="AC46"/>
      <c r="AD46"/>
      <c r="AE46"/>
    </row>
    <row r="47" spans="1:31" ht="23.25" customHeight="1" x14ac:dyDescent="0.25">
      <c r="B47" s="52"/>
      <c r="C47" s="8"/>
      <c r="D47" s="8"/>
      <c r="E47" s="8"/>
      <c r="M47" s="48"/>
      <c r="N47" s="48"/>
      <c r="O47" s="49"/>
      <c r="P47" s="50"/>
      <c r="Q47" s="51"/>
      <c r="R47" s="46"/>
      <c r="S47" s="47"/>
      <c r="T47" s="47"/>
      <c r="U47" s="46"/>
      <c r="V47" s="47"/>
      <c r="W47" s="47"/>
      <c r="X47" s="46"/>
      <c r="Y47"/>
      <c r="Z47"/>
      <c r="AA47"/>
      <c r="AB47"/>
      <c r="AC47"/>
      <c r="AD47"/>
      <c r="AE47"/>
    </row>
    <row r="48" spans="1:31" ht="8.25" customHeight="1" x14ac:dyDescent="0.25">
      <c r="B48" s="7"/>
      <c r="C48" s="8"/>
      <c r="D48" s="8"/>
      <c r="E48" s="8"/>
      <c r="M48" s="48"/>
      <c r="N48" s="48"/>
      <c r="O48" s="49"/>
      <c r="P48" s="50"/>
      <c r="Q48" s="51"/>
      <c r="R48" s="46"/>
      <c r="S48" s="47"/>
      <c r="T48" s="47"/>
      <c r="U48" s="46"/>
      <c r="V48" s="47"/>
      <c r="W48" s="47"/>
      <c r="X48" s="46"/>
      <c r="Y48"/>
      <c r="Z48"/>
      <c r="AA48"/>
      <c r="AB48"/>
      <c r="AC48"/>
      <c r="AD48"/>
      <c r="AE48"/>
    </row>
    <row r="49" spans="1:33" ht="4.5" customHeight="1" x14ac:dyDescent="0.25">
      <c r="B49" s="7"/>
      <c r="C49" s="8"/>
      <c r="D49" s="8"/>
      <c r="E49" s="8"/>
      <c r="F49" s="8"/>
      <c r="G49" s="8"/>
      <c r="H49" s="8"/>
      <c r="I49" s="8"/>
      <c r="J49" s="8"/>
      <c r="K49" s="8"/>
      <c r="L49" s="8"/>
      <c r="M49"/>
      <c r="N49"/>
      <c r="O49"/>
      <c r="P49"/>
      <c r="Q49"/>
      <c r="R49" s="8"/>
      <c r="S49" s="8"/>
      <c r="T49" s="8"/>
      <c r="U49" s="8"/>
      <c r="V49" s="8"/>
      <c r="W49" s="8"/>
      <c r="X49" s="8"/>
      <c r="Y49"/>
      <c r="Z49"/>
      <c r="AA49"/>
      <c r="AB49"/>
      <c r="AC49"/>
      <c r="AD49"/>
      <c r="AE49"/>
    </row>
    <row r="50" spans="1:33" ht="15" customHeight="1" x14ac:dyDescent="0.25">
      <c r="B50" s="7"/>
      <c r="C50" s="8"/>
      <c r="D50" s="8"/>
      <c r="E50" s="8"/>
      <c r="F50" s="8"/>
      <c r="G50" s="8"/>
      <c r="H50" s="8"/>
      <c r="I50" s="8"/>
      <c r="J50" s="8"/>
      <c r="K50" s="8"/>
      <c r="L50" s="8"/>
      <c r="M50"/>
      <c r="N50"/>
      <c r="O50"/>
      <c r="P50"/>
      <c r="Q50"/>
      <c r="R50" s="8"/>
      <c r="S50" s="8"/>
      <c r="T50" s="8"/>
      <c r="U50" s="8"/>
      <c r="V50" s="8"/>
      <c r="W50" s="8"/>
      <c r="X50" s="8"/>
      <c r="Y50"/>
      <c r="Z50"/>
      <c r="AA50"/>
      <c r="AB50"/>
      <c r="AC50"/>
      <c r="AD50"/>
      <c r="AE50"/>
    </row>
    <row r="51" spans="1:33" s="9" customFormat="1" ht="27.75" x14ac:dyDescent="0.25">
      <c r="B51" s="109" t="s">
        <v>819</v>
      </c>
      <c r="C51" s="10"/>
      <c r="D51" s="10"/>
      <c r="E51" s="10"/>
      <c r="H51" s="11"/>
      <c r="I51" s="11"/>
      <c r="J51" s="11"/>
      <c r="M51"/>
      <c r="N51"/>
      <c r="O51"/>
      <c r="P51"/>
      <c r="Q51"/>
      <c r="R51" s="11"/>
      <c r="U51" s="11"/>
      <c r="X51" s="11"/>
      <c r="Y51"/>
      <c r="Z51"/>
      <c r="AA51"/>
      <c r="AB51"/>
      <c r="AC51"/>
      <c r="AD51"/>
      <c r="AE51"/>
    </row>
    <row r="52" spans="1:33" ht="15" x14ac:dyDescent="0.25">
      <c r="B52" s="12" t="str">
        <f>B4</f>
        <v>Valid from 1st January 2025</v>
      </c>
      <c r="C52" s="13"/>
      <c r="D52" s="13"/>
      <c r="E52" s="13"/>
      <c r="F52" s="8"/>
      <c r="G52" s="8"/>
      <c r="H52" s="8"/>
      <c r="I52" s="8"/>
      <c r="J52" s="8"/>
      <c r="K52" s="8"/>
      <c r="L52" s="8"/>
      <c r="M52"/>
      <c r="N52"/>
      <c r="O52"/>
      <c r="P52"/>
      <c r="Q52"/>
      <c r="R52" s="8"/>
      <c r="S52" s="8"/>
      <c r="T52" s="8"/>
      <c r="U52" s="8"/>
      <c r="V52" s="8"/>
      <c r="W52" s="8"/>
      <c r="X52" s="8"/>
      <c r="Y52"/>
      <c r="Z52"/>
      <c r="AA52"/>
      <c r="AB52"/>
      <c r="AC52"/>
      <c r="AD52"/>
      <c r="AE52"/>
    </row>
    <row r="53" spans="1:33" ht="15.75" thickBot="1" x14ac:dyDescent="0.3">
      <c r="B53" s="14"/>
      <c r="C53" s="13"/>
      <c r="D53" s="13"/>
      <c r="E53" s="13"/>
      <c r="F53" s="8"/>
      <c r="G53" s="8"/>
      <c r="H53" s="8"/>
      <c r="I53" s="8"/>
      <c r="J53" s="8"/>
      <c r="K53" s="8"/>
      <c r="L53" s="8"/>
      <c r="M53" s="8"/>
      <c r="N53"/>
      <c r="O53"/>
      <c r="P53"/>
      <c r="Q53"/>
      <c r="R53" s="8"/>
      <c r="S53" s="8"/>
      <c r="T53" s="8"/>
      <c r="U53" s="8"/>
      <c r="V53" s="8"/>
      <c r="W53" s="8"/>
      <c r="X53" s="8"/>
      <c r="Y53"/>
      <c r="Z53"/>
      <c r="AA53"/>
      <c r="AB53"/>
      <c r="AC53"/>
      <c r="AD53"/>
      <c r="AE53"/>
    </row>
    <row r="54" spans="1:33" ht="14.25" customHeight="1" thickBot="1" x14ac:dyDescent="0.3">
      <c r="B54" s="311" t="s">
        <v>0</v>
      </c>
      <c r="C54" s="312"/>
      <c r="D54" s="306" t="str">
        <f>IF($D$6=0,"",$D$6)</f>
        <v>Citipost Limited</v>
      </c>
      <c r="E54" s="306"/>
      <c r="F54" s="306"/>
      <c r="G54" s="312" t="s">
        <v>3</v>
      </c>
      <c r="H54" s="312"/>
      <c r="I54" s="306" t="str">
        <f>IF($D$7=0,"",$D$7)</f>
        <v/>
      </c>
      <c r="J54" s="306"/>
      <c r="K54" s="306"/>
      <c r="L54" s="312" t="s">
        <v>2</v>
      </c>
      <c r="M54" s="312"/>
      <c r="N54" s="305" t="str">
        <f>IF($N$6=0,"",$N$6)</f>
        <v/>
      </c>
      <c r="O54" s="306"/>
      <c r="P54" s="306"/>
      <c r="Q54" s="307"/>
      <c r="R54" s="8"/>
      <c r="S54" s="8"/>
      <c r="T54" s="8"/>
      <c r="U54" s="8"/>
      <c r="V54" s="8"/>
      <c r="W54" s="8"/>
      <c r="X54" s="8"/>
      <c r="Y54"/>
      <c r="Z54"/>
      <c r="AA54"/>
      <c r="AB54"/>
      <c r="AC54"/>
      <c r="AD54"/>
      <c r="AE54"/>
    </row>
    <row r="55" spans="1:33" ht="14.25" customHeight="1" x14ac:dyDescent="0.25">
      <c r="B55" s="53"/>
      <c r="C55" s="53"/>
      <c r="D55" s="54"/>
      <c r="E55" s="54"/>
      <c r="F55" s="54"/>
      <c r="G55" s="55"/>
      <c r="H55" s="55"/>
      <c r="I55" s="56"/>
      <c r="J55" s="56"/>
      <c r="K55" s="56"/>
      <c r="L55" s="55"/>
      <c r="M55" s="55"/>
      <c r="N55" s="57"/>
      <c r="O55" s="57"/>
      <c r="P55" s="57"/>
      <c r="Q55" s="57"/>
      <c r="R55" s="8"/>
      <c r="S55" s="8"/>
      <c r="T55" s="8"/>
      <c r="U55" s="8"/>
      <c r="V55" s="8"/>
      <c r="W55" s="8"/>
      <c r="X55" s="8"/>
      <c r="Y55"/>
      <c r="Z55"/>
      <c r="AA55"/>
      <c r="AB55"/>
      <c r="AC55"/>
      <c r="AD55"/>
      <c r="AE55"/>
    </row>
    <row r="56" spans="1:33" s="19" customFormat="1" ht="15.75" thickBot="1" x14ac:dyDescent="0.3">
      <c r="B56" s="58"/>
      <c r="C56" s="58"/>
      <c r="D56" s="58" t="s">
        <v>6</v>
      </c>
      <c r="E56" s="58"/>
      <c r="F56" s="58"/>
      <c r="G56" s="59" t="s">
        <v>6</v>
      </c>
      <c r="H56" s="59"/>
      <c r="I56" s="59" t="s">
        <v>7</v>
      </c>
      <c r="J56" s="59"/>
      <c r="K56" s="59"/>
      <c r="L56" s="60" t="s">
        <v>7</v>
      </c>
      <c r="M56" s="61"/>
      <c r="N56" s="61" t="s">
        <v>8</v>
      </c>
      <c r="O56" s="61"/>
      <c r="P56" s="60"/>
      <c r="Q56" s="60" t="s">
        <v>8</v>
      </c>
      <c r="R56" s="62"/>
      <c r="S56" s="63"/>
      <c r="T56" s="63"/>
      <c r="U56" s="62"/>
      <c r="V56" s="63"/>
      <c r="W56" s="63"/>
      <c r="X56" s="62"/>
      <c r="Y56"/>
      <c r="Z56"/>
      <c r="AA56"/>
      <c r="AB56"/>
      <c r="AC56"/>
      <c r="AD56"/>
      <c r="AE56"/>
    </row>
    <row r="57" spans="1:33" ht="15" customHeight="1" x14ac:dyDescent="0.25">
      <c r="B57" s="25"/>
      <c r="C57" s="246" t="s">
        <v>456</v>
      </c>
      <c r="D57" s="247"/>
      <c r="E57" s="247"/>
      <c r="F57" s="248"/>
      <c r="G57"/>
      <c r="H57" s="246" t="s">
        <v>456</v>
      </c>
      <c r="I57" s="247"/>
      <c r="J57" s="247"/>
      <c r="K57" s="248"/>
      <c r="L57"/>
      <c r="M57" s="246" t="s">
        <v>456</v>
      </c>
      <c r="N57" s="247"/>
      <c r="O57" s="247"/>
      <c r="P57" s="248"/>
      <c r="Q57"/>
      <c r="R57" s="26"/>
      <c r="S57" s="26"/>
      <c r="T57" s="26"/>
      <c r="U57" s="64"/>
      <c r="V57" s="64"/>
      <c r="W57" s="64"/>
      <c r="X57" s="64"/>
      <c r="Y57"/>
      <c r="Z57"/>
      <c r="AA57"/>
      <c r="AB57"/>
      <c r="AC57"/>
      <c r="AD57"/>
      <c r="AE57"/>
    </row>
    <row r="58" spans="1:33" ht="15" customHeight="1" x14ac:dyDescent="0.25">
      <c r="C58" s="259" t="s">
        <v>10</v>
      </c>
      <c r="D58" s="260"/>
      <c r="E58" s="260"/>
      <c r="F58" s="261"/>
      <c r="G58"/>
      <c r="H58" s="256" t="s">
        <v>78</v>
      </c>
      <c r="I58" s="257"/>
      <c r="J58" s="257"/>
      <c r="K58" s="258"/>
      <c r="L58"/>
      <c r="M58" s="256" t="s">
        <v>79</v>
      </c>
      <c r="N58" s="257"/>
      <c r="O58" s="257"/>
      <c r="P58" s="258"/>
      <c r="Q58"/>
      <c r="R58" s="29"/>
      <c r="S58" s="29"/>
      <c r="T58" s="29"/>
      <c r="U58"/>
      <c r="V58"/>
      <c r="W58"/>
      <c r="X58" s="64"/>
      <c r="Y58"/>
      <c r="Z58"/>
      <c r="AA58"/>
      <c r="AB58"/>
      <c r="AC58"/>
      <c r="AD58"/>
      <c r="AE58"/>
    </row>
    <row r="59" spans="1:33" ht="14.25" customHeight="1" thickBot="1" x14ac:dyDescent="0.3">
      <c r="B59" s="30"/>
      <c r="C59" s="224" t="s">
        <v>14</v>
      </c>
      <c r="D59" s="210" t="s">
        <v>15</v>
      </c>
      <c r="E59" s="210" t="s">
        <v>16</v>
      </c>
      <c r="F59" s="225" t="s">
        <v>17</v>
      </c>
      <c r="G59"/>
      <c r="H59" s="214" t="s">
        <v>14</v>
      </c>
      <c r="I59" s="215" t="s">
        <v>15</v>
      </c>
      <c r="J59" s="215" t="s">
        <v>16</v>
      </c>
      <c r="K59" s="216" t="s">
        <v>17</v>
      </c>
      <c r="L59"/>
      <c r="M59" s="214" t="s">
        <v>14</v>
      </c>
      <c r="N59" s="215" t="s">
        <v>15</v>
      </c>
      <c r="O59" s="215" t="s">
        <v>16</v>
      </c>
      <c r="P59" s="216" t="s">
        <v>17</v>
      </c>
      <c r="Q59"/>
      <c r="R59" s="31"/>
      <c r="S59" s="32"/>
      <c r="T59" s="32"/>
      <c r="U59"/>
      <c r="V59"/>
      <c r="W59"/>
      <c r="X59" s="31"/>
      <c r="Y59"/>
      <c r="Z59"/>
      <c r="AA59"/>
      <c r="AB59"/>
      <c r="AC59"/>
      <c r="AD59"/>
      <c r="AE59"/>
      <c r="AF59" s="47"/>
    </row>
    <row r="60" spans="1:33" ht="15" x14ac:dyDescent="0.25">
      <c r="A60" s="6" t="s">
        <v>81</v>
      </c>
      <c r="B60" s="117" t="s">
        <v>80</v>
      </c>
      <c r="C60" s="118" t="s">
        <v>20</v>
      </c>
      <c r="D60" s="205" t="s">
        <v>815</v>
      </c>
      <c r="E60" s="149"/>
      <c r="F60" s="150"/>
      <c r="G60"/>
      <c r="H60" s="123" t="s">
        <v>32</v>
      </c>
      <c r="I60" s="205" t="s">
        <v>815</v>
      </c>
      <c r="J60" s="149"/>
      <c r="K60" s="150"/>
      <c r="L60"/>
      <c r="M60" s="123" t="s">
        <v>21</v>
      </c>
      <c r="N60" s="205" t="s">
        <v>815</v>
      </c>
      <c r="O60" s="149"/>
      <c r="P60" s="150"/>
      <c r="Q60"/>
      <c r="R60" s="8"/>
      <c r="S60" s="8"/>
      <c r="T60" s="68" t="s">
        <v>81</v>
      </c>
      <c r="U60"/>
      <c r="V60" t="s">
        <v>81</v>
      </c>
      <c r="W60"/>
      <c r="X60" s="8"/>
      <c r="Y60" t="s">
        <v>80</v>
      </c>
      <c r="Z60"/>
      <c r="AA60"/>
      <c r="AB60" t="str">
        <f>IF(Y60=B60,"TRUE","FALSE")</f>
        <v>TRUE</v>
      </c>
      <c r="AC60"/>
      <c r="AD60"/>
      <c r="AE60"/>
      <c r="AF60" s="47"/>
    </row>
    <row r="61" spans="1:33" ht="15" x14ac:dyDescent="0.25">
      <c r="A61" s="6" t="s">
        <v>85</v>
      </c>
      <c r="B61" s="119" t="s">
        <v>84</v>
      </c>
      <c r="C61" s="120" t="s">
        <v>20</v>
      </c>
      <c r="D61" s="204" t="s">
        <v>816</v>
      </c>
      <c r="E61" s="146"/>
      <c r="F61" s="151"/>
      <c r="G61"/>
      <c r="H61" s="125" t="s">
        <v>32</v>
      </c>
      <c r="I61" s="204" t="s">
        <v>816</v>
      </c>
      <c r="J61" s="146"/>
      <c r="K61" s="151"/>
      <c r="L61"/>
      <c r="M61" s="125" t="s">
        <v>21</v>
      </c>
      <c r="N61" s="204" t="s">
        <v>816</v>
      </c>
      <c r="O61" s="146"/>
      <c r="P61" s="151"/>
      <c r="Q61"/>
      <c r="R61" s="8"/>
      <c r="S61" s="8"/>
      <c r="T61" s="69" t="s">
        <v>85</v>
      </c>
      <c r="U61"/>
      <c r="V61" t="s">
        <v>85</v>
      </c>
      <c r="W61"/>
      <c r="X61" s="8"/>
      <c r="Y61" t="s">
        <v>84</v>
      </c>
      <c r="Z61"/>
      <c r="AA61"/>
      <c r="AB61" t="str">
        <f t="shared" ref="AB61:AB71" si="1">IF(Y61=B61,"TRUE","FALSE")</f>
        <v>TRUE</v>
      </c>
      <c r="AC61"/>
      <c r="AD61"/>
      <c r="AE61"/>
      <c r="AF61" s="70"/>
    </row>
    <row r="62" spans="1:33" s="72" customFormat="1" ht="13.5" customHeight="1" x14ac:dyDescent="0.25">
      <c r="B62" s="119" t="s">
        <v>86</v>
      </c>
      <c r="C62" s="120" t="s">
        <v>20</v>
      </c>
      <c r="D62" s="205" t="s">
        <v>815</v>
      </c>
      <c r="E62" s="146"/>
      <c r="F62" s="151"/>
      <c r="G62"/>
      <c r="H62" s="125" t="s">
        <v>32</v>
      </c>
      <c r="I62" s="205" t="s">
        <v>815</v>
      </c>
      <c r="J62" s="146"/>
      <c r="K62" s="151"/>
      <c r="L62"/>
      <c r="M62" s="125" t="s">
        <v>851</v>
      </c>
      <c r="N62" s="205" t="s">
        <v>815</v>
      </c>
      <c r="O62" s="146"/>
      <c r="P62" s="151"/>
      <c r="Q62"/>
      <c r="R62" s="8"/>
      <c r="S62" s="8"/>
      <c r="T62" s="69" t="s">
        <v>87</v>
      </c>
      <c r="U62"/>
      <c r="V62" t="s">
        <v>87</v>
      </c>
      <c r="W62"/>
      <c r="X62" s="8"/>
      <c r="Y62" t="s">
        <v>86</v>
      </c>
      <c r="Z62"/>
      <c r="AA62"/>
      <c r="AB62" t="str">
        <f t="shared" si="1"/>
        <v>TRUE</v>
      </c>
      <c r="AC62"/>
      <c r="AD62"/>
      <c r="AE62"/>
      <c r="AF62" s="47"/>
      <c r="AG62" s="71"/>
    </row>
    <row r="63" spans="1:33" ht="14.25" customHeight="1" x14ac:dyDescent="0.25">
      <c r="B63" s="119" t="s">
        <v>90</v>
      </c>
      <c r="C63" s="120" t="s">
        <v>20</v>
      </c>
      <c r="D63" s="205" t="s">
        <v>815</v>
      </c>
      <c r="E63" s="146"/>
      <c r="F63" s="151"/>
      <c r="G63"/>
      <c r="H63" s="125" t="s">
        <v>32</v>
      </c>
      <c r="I63" s="205" t="s">
        <v>815</v>
      </c>
      <c r="J63" s="146"/>
      <c r="K63" s="151"/>
      <c r="L63"/>
      <c r="M63" s="125" t="s">
        <v>851</v>
      </c>
      <c r="N63" s="205" t="s">
        <v>815</v>
      </c>
      <c r="O63" s="146"/>
      <c r="P63" s="151"/>
      <c r="Q63"/>
      <c r="R63" s="8"/>
      <c r="S63" s="8"/>
      <c r="T63" s="69" t="s">
        <v>91</v>
      </c>
      <c r="U63"/>
      <c r="V63" t="s">
        <v>91</v>
      </c>
      <c r="W63"/>
      <c r="X63" s="8"/>
      <c r="Y63" t="s">
        <v>90</v>
      </c>
      <c r="Z63"/>
      <c r="AA63"/>
      <c r="AB63" t="str">
        <f t="shared" si="1"/>
        <v>TRUE</v>
      </c>
      <c r="AC63"/>
      <c r="AD63"/>
      <c r="AE63"/>
    </row>
    <row r="64" spans="1:33" ht="14.25" customHeight="1" x14ac:dyDescent="0.25">
      <c r="B64" s="119" t="s">
        <v>92</v>
      </c>
      <c r="C64" s="120" t="s">
        <v>20</v>
      </c>
      <c r="D64" s="204" t="s">
        <v>816</v>
      </c>
      <c r="E64" s="146"/>
      <c r="F64" s="151"/>
      <c r="G64"/>
      <c r="H64" s="125" t="s">
        <v>32</v>
      </c>
      <c r="I64" s="204" t="s">
        <v>816</v>
      </c>
      <c r="J64" s="146"/>
      <c r="K64" s="151"/>
      <c r="L64"/>
      <c r="M64" s="125" t="s">
        <v>851</v>
      </c>
      <c r="N64" s="204" t="s">
        <v>816</v>
      </c>
      <c r="O64" s="146"/>
      <c r="P64" s="151"/>
      <c r="Q64"/>
      <c r="R64" s="8"/>
      <c r="S64" s="8"/>
      <c r="T64" s="69" t="s">
        <v>93</v>
      </c>
      <c r="U64"/>
      <c r="V64" t="s">
        <v>93</v>
      </c>
      <c r="W64"/>
      <c r="X64" s="8"/>
      <c r="Y64" t="s">
        <v>92</v>
      </c>
      <c r="Z64"/>
      <c r="AA64"/>
      <c r="AB64" t="str">
        <f t="shared" si="1"/>
        <v>TRUE</v>
      </c>
      <c r="AC64"/>
      <c r="AD64"/>
      <c r="AE64"/>
    </row>
    <row r="65" spans="2:31" ht="14.25" customHeight="1" x14ac:dyDescent="0.25">
      <c r="B65" s="119" t="s">
        <v>246</v>
      </c>
      <c r="C65" s="120" t="s">
        <v>20</v>
      </c>
      <c r="D65" s="206" t="s">
        <v>816</v>
      </c>
      <c r="E65" s="146"/>
      <c r="F65" s="151"/>
      <c r="G65"/>
      <c r="H65" s="125" t="s">
        <v>32</v>
      </c>
      <c r="I65" s="205" t="s">
        <v>815</v>
      </c>
      <c r="J65" s="146"/>
      <c r="K65" s="151"/>
      <c r="L65"/>
      <c r="M65" s="125" t="s">
        <v>851</v>
      </c>
      <c r="N65" s="205" t="s">
        <v>815</v>
      </c>
      <c r="O65" s="146"/>
      <c r="P65" s="151"/>
      <c r="Q65"/>
      <c r="R65" s="8"/>
      <c r="S65" s="8"/>
      <c r="T65" s="69"/>
      <c r="U65"/>
      <c r="V65"/>
      <c r="W65"/>
      <c r="X65" s="8"/>
      <c r="Y65"/>
      <c r="Z65"/>
      <c r="AA65"/>
      <c r="AB65"/>
      <c r="AC65"/>
      <c r="AD65"/>
      <c r="AE65"/>
    </row>
    <row r="66" spans="2:31" ht="14.25" customHeight="1" x14ac:dyDescent="0.25">
      <c r="B66" s="119" t="s">
        <v>94</v>
      </c>
      <c r="C66" s="120" t="s">
        <v>20</v>
      </c>
      <c r="D66" s="205" t="s">
        <v>815</v>
      </c>
      <c r="E66" s="146"/>
      <c r="F66" s="151"/>
      <c r="G66"/>
      <c r="H66" s="125" t="s">
        <v>32</v>
      </c>
      <c r="I66" s="205" t="s">
        <v>815</v>
      </c>
      <c r="J66" s="146"/>
      <c r="K66" s="151"/>
      <c r="L66"/>
      <c r="M66" s="125" t="s">
        <v>21</v>
      </c>
      <c r="N66" s="205" t="s">
        <v>815</v>
      </c>
      <c r="O66" s="146"/>
      <c r="P66" s="151"/>
      <c r="Q66"/>
      <c r="R66" s="8"/>
      <c r="S66" s="8"/>
      <c r="T66" s="69" t="s">
        <v>95</v>
      </c>
      <c r="U66"/>
      <c r="V66" t="s">
        <v>95</v>
      </c>
      <c r="W66"/>
      <c r="X66" s="8"/>
      <c r="Y66" t="s">
        <v>94</v>
      </c>
      <c r="Z66"/>
      <c r="AA66"/>
      <c r="AB66" t="str">
        <f t="shared" si="1"/>
        <v>TRUE</v>
      </c>
      <c r="AC66"/>
      <c r="AD66"/>
      <c r="AE66"/>
    </row>
    <row r="67" spans="2:31" ht="14.25" customHeight="1" x14ac:dyDescent="0.25">
      <c r="B67" s="119" t="s">
        <v>96</v>
      </c>
      <c r="C67" s="120" t="s">
        <v>20</v>
      </c>
      <c r="D67" s="147" t="s">
        <v>818</v>
      </c>
      <c r="E67" s="148" t="s">
        <v>818</v>
      </c>
      <c r="F67" s="152" t="s">
        <v>818</v>
      </c>
      <c r="G67"/>
      <c r="H67" s="125" t="s">
        <v>32</v>
      </c>
      <c r="I67" s="147" t="s">
        <v>818</v>
      </c>
      <c r="J67" s="148" t="s">
        <v>818</v>
      </c>
      <c r="K67" s="152" t="s">
        <v>818</v>
      </c>
      <c r="L67"/>
      <c r="M67" s="125" t="s">
        <v>21</v>
      </c>
      <c r="N67" s="147" t="s">
        <v>818</v>
      </c>
      <c r="O67" s="148" t="s">
        <v>818</v>
      </c>
      <c r="P67" s="152" t="s">
        <v>818</v>
      </c>
      <c r="Q67"/>
      <c r="R67" s="8"/>
      <c r="S67" s="8"/>
      <c r="T67" s="69" t="s">
        <v>97</v>
      </c>
      <c r="U67"/>
      <c r="V67" t="s">
        <v>97</v>
      </c>
      <c r="W67"/>
      <c r="X67" s="8"/>
      <c r="Y67" t="s">
        <v>96</v>
      </c>
      <c r="Z67"/>
      <c r="AA67"/>
      <c r="AB67" t="str">
        <f t="shared" si="1"/>
        <v>TRUE</v>
      </c>
      <c r="AC67"/>
      <c r="AD67"/>
      <c r="AE67"/>
    </row>
    <row r="68" spans="2:31" ht="14.25" customHeight="1" x14ac:dyDescent="0.25">
      <c r="B68" s="119" t="s">
        <v>98</v>
      </c>
      <c r="C68" s="120" t="s">
        <v>20</v>
      </c>
      <c r="D68" s="204" t="s">
        <v>816</v>
      </c>
      <c r="E68" s="146"/>
      <c r="F68" s="151"/>
      <c r="G68"/>
      <c r="H68" s="125" t="s">
        <v>32</v>
      </c>
      <c r="I68" s="204" t="s">
        <v>816</v>
      </c>
      <c r="J68" s="146"/>
      <c r="K68" s="151"/>
      <c r="L68"/>
      <c r="M68" s="125" t="s">
        <v>851</v>
      </c>
      <c r="N68" s="204" t="s">
        <v>816</v>
      </c>
      <c r="O68" s="146"/>
      <c r="P68" s="151"/>
      <c r="Q68"/>
      <c r="R68" s="8"/>
      <c r="S68" s="8"/>
      <c r="T68" s="69" t="s">
        <v>99</v>
      </c>
      <c r="U68"/>
      <c r="V68" t="s">
        <v>99</v>
      </c>
      <c r="W68"/>
      <c r="X68" s="8"/>
      <c r="Y68" t="s">
        <v>98</v>
      </c>
      <c r="Z68"/>
      <c r="AA68"/>
      <c r="AB68" t="str">
        <f t="shared" si="1"/>
        <v>TRUE</v>
      </c>
      <c r="AC68"/>
      <c r="AD68"/>
      <c r="AE68"/>
    </row>
    <row r="69" spans="2:31" ht="14.25" customHeight="1" x14ac:dyDescent="0.25">
      <c r="B69" s="119" t="s">
        <v>827</v>
      </c>
      <c r="C69" s="120" t="s">
        <v>20</v>
      </c>
      <c r="D69" s="204" t="s">
        <v>816</v>
      </c>
      <c r="E69" s="146"/>
      <c r="F69" s="151"/>
      <c r="G69"/>
      <c r="H69" s="125" t="s">
        <v>32</v>
      </c>
      <c r="I69" s="205" t="s">
        <v>815</v>
      </c>
      <c r="J69" s="146"/>
      <c r="K69" s="151"/>
      <c r="L69"/>
      <c r="M69" s="125" t="s">
        <v>851</v>
      </c>
      <c r="N69" s="205" t="s">
        <v>815</v>
      </c>
      <c r="O69" s="146"/>
      <c r="P69" s="151"/>
      <c r="Q69"/>
      <c r="R69" s="8"/>
      <c r="S69" s="8"/>
      <c r="T69" s="69" t="s">
        <v>101</v>
      </c>
      <c r="U69"/>
      <c r="V69" t="s">
        <v>101</v>
      </c>
      <c r="W69"/>
      <c r="X69" s="8"/>
      <c r="Y69" t="s">
        <v>100</v>
      </c>
      <c r="Z69"/>
      <c r="AA69"/>
      <c r="AB69" t="str">
        <f t="shared" si="1"/>
        <v>FALSE</v>
      </c>
      <c r="AC69"/>
      <c r="AD69"/>
      <c r="AE69"/>
    </row>
    <row r="70" spans="2:31" ht="14.25" customHeight="1" x14ac:dyDescent="0.25">
      <c r="B70" s="119" t="s">
        <v>828</v>
      </c>
      <c r="C70" s="120" t="s">
        <v>20</v>
      </c>
      <c r="D70" s="205" t="s">
        <v>815</v>
      </c>
      <c r="E70" s="146"/>
      <c r="F70" s="151"/>
      <c r="G70"/>
      <c r="H70" s="125" t="s">
        <v>32</v>
      </c>
      <c r="I70" s="205" t="s">
        <v>815</v>
      </c>
      <c r="J70" s="146"/>
      <c r="K70" s="151"/>
      <c r="L70"/>
      <c r="M70" s="125" t="s">
        <v>851</v>
      </c>
      <c r="N70" s="205" t="s">
        <v>815</v>
      </c>
      <c r="O70" s="146"/>
      <c r="P70" s="151"/>
      <c r="Q70"/>
      <c r="R70" s="8"/>
      <c r="S70" s="8"/>
      <c r="T70" s="69" t="s">
        <v>103</v>
      </c>
      <c r="U70"/>
      <c r="V70" t="s">
        <v>103</v>
      </c>
      <c r="W70"/>
      <c r="X70" s="8"/>
      <c r="Y70" t="s">
        <v>102</v>
      </c>
      <c r="Z70"/>
      <c r="AA70"/>
      <c r="AB70" t="str">
        <f t="shared" si="1"/>
        <v>FALSE</v>
      </c>
      <c r="AC70"/>
      <c r="AD70"/>
      <c r="AE70"/>
    </row>
    <row r="71" spans="2:31" ht="14.25" customHeight="1" thickBot="1" x14ac:dyDescent="0.3">
      <c r="B71" s="121" t="s">
        <v>104</v>
      </c>
      <c r="C71" s="122" t="s">
        <v>20</v>
      </c>
      <c r="D71" s="204" t="s">
        <v>816</v>
      </c>
      <c r="E71" s="153"/>
      <c r="F71" s="154"/>
      <c r="G71"/>
      <c r="H71" s="126" t="s">
        <v>32</v>
      </c>
      <c r="I71" s="204" t="s">
        <v>816</v>
      </c>
      <c r="J71" s="153"/>
      <c r="K71" s="154"/>
      <c r="L71"/>
      <c r="M71" s="126" t="s">
        <v>21</v>
      </c>
      <c r="N71" s="205" t="s">
        <v>815</v>
      </c>
      <c r="O71" s="153"/>
      <c r="P71" s="154"/>
      <c r="Q71"/>
      <c r="R71" s="8"/>
      <c r="S71" s="8"/>
      <c r="T71" s="73" t="s">
        <v>105</v>
      </c>
      <c r="U71"/>
      <c r="V71" t="s">
        <v>105</v>
      </c>
      <c r="W71"/>
      <c r="X71" s="8"/>
      <c r="Y71" t="s">
        <v>104</v>
      </c>
      <c r="Z71"/>
      <c r="AA71"/>
      <c r="AB71" t="str">
        <f t="shared" si="1"/>
        <v>TRUE</v>
      </c>
      <c r="AC71"/>
      <c r="AD71"/>
      <c r="AE71"/>
    </row>
    <row r="72" spans="2:31" ht="14.25" customHeight="1" x14ac:dyDescent="0.25">
      <c r="B72" s="41"/>
      <c r="C72" s="8"/>
      <c r="D72" s="8"/>
      <c r="E72" s="8"/>
      <c r="F72" s="8"/>
      <c r="G72" s="36"/>
      <c r="H72" s="8"/>
      <c r="I72" s="8"/>
      <c r="J72" s="8"/>
      <c r="K72" s="8"/>
      <c r="L72" s="8"/>
      <c r="M72" s="8"/>
      <c r="N72" s="8"/>
      <c r="O72" s="8"/>
      <c r="P72" s="8"/>
      <c r="Q72" s="36"/>
      <c r="R72" s="8"/>
      <c r="S72" s="8"/>
      <c r="T72" s="74"/>
      <c r="V72"/>
      <c r="W72"/>
      <c r="Y72"/>
      <c r="Z72"/>
      <c r="AA72"/>
      <c r="AB72"/>
      <c r="AC72"/>
      <c r="AD72"/>
      <c r="AE72"/>
    </row>
    <row r="73" spans="2:31" s="19" customFormat="1" ht="14.25" customHeight="1" thickBot="1" x14ac:dyDescent="0.3">
      <c r="B73" s="75"/>
      <c r="C73" s="76"/>
      <c r="D73" s="77">
        <v>1</v>
      </c>
      <c r="E73" s="76"/>
      <c r="F73" s="76"/>
      <c r="G73" s="77">
        <v>1</v>
      </c>
      <c r="H73" s="76"/>
      <c r="I73" s="76"/>
      <c r="J73" s="76"/>
      <c r="K73" s="76"/>
      <c r="L73" s="76"/>
      <c r="M73" s="76"/>
      <c r="N73" s="77">
        <v>2</v>
      </c>
      <c r="O73" s="76"/>
      <c r="P73" s="76"/>
      <c r="Q73" s="77">
        <v>2</v>
      </c>
      <c r="R73" s="76"/>
      <c r="S73" s="76"/>
      <c r="T73" s="76"/>
      <c r="U73" s="78"/>
      <c r="V73" s="5"/>
      <c r="W73" s="5"/>
      <c r="X73" s="78"/>
      <c r="Y73"/>
      <c r="Z73"/>
      <c r="AA73"/>
      <c r="AB73"/>
      <c r="AC73"/>
      <c r="AD73"/>
      <c r="AE73"/>
    </row>
    <row r="74" spans="2:31" ht="14.25" customHeight="1" x14ac:dyDescent="0.25">
      <c r="B74" s="79"/>
      <c r="C74" s="246" t="s">
        <v>456</v>
      </c>
      <c r="D74" s="247"/>
      <c r="E74" s="247"/>
      <c r="F74" s="248"/>
      <c r="G74"/>
      <c r="H74" s="80"/>
      <c r="I74" s="8"/>
      <c r="J74" s="8"/>
      <c r="K74" s="8"/>
      <c r="L74" s="79"/>
      <c r="M74" s="246" t="s">
        <v>456</v>
      </c>
      <c r="N74" s="247"/>
      <c r="O74" s="247"/>
      <c r="P74" s="248"/>
      <c r="Q74"/>
      <c r="R74" s="8"/>
      <c r="S74" s="8"/>
      <c r="T74" s="8"/>
      <c r="V74"/>
      <c r="W74"/>
      <c r="Y74"/>
      <c r="Z74"/>
      <c r="AA74"/>
      <c r="AB74"/>
      <c r="AC74"/>
      <c r="AD74"/>
      <c r="AE74"/>
    </row>
    <row r="75" spans="2:31" ht="14.25" customHeight="1" thickBot="1" x14ac:dyDescent="0.3">
      <c r="B75" s="81"/>
      <c r="C75" s="224" t="s">
        <v>14</v>
      </c>
      <c r="D75" s="210" t="s">
        <v>15</v>
      </c>
      <c r="E75" s="210" t="s">
        <v>16</v>
      </c>
      <c r="F75" s="225" t="s">
        <v>17</v>
      </c>
      <c r="G75"/>
      <c r="H75" s="31"/>
      <c r="I75" s="32"/>
      <c r="J75" s="32"/>
      <c r="K75" s="8"/>
      <c r="L75" s="81"/>
      <c r="M75" s="224" t="s">
        <v>14</v>
      </c>
      <c r="N75" s="210" t="s">
        <v>15</v>
      </c>
      <c r="O75" s="210" t="s">
        <v>16</v>
      </c>
      <c r="P75" s="225" t="s">
        <v>17</v>
      </c>
      <c r="Q75"/>
      <c r="R75" s="8"/>
      <c r="S75" s="8"/>
      <c r="T75" s="98">
        <v>1</v>
      </c>
      <c r="U75" s="98">
        <v>2</v>
      </c>
      <c r="V75"/>
      <c r="W75"/>
      <c r="X75" s="6"/>
      <c r="Y75"/>
      <c r="Z75"/>
      <c r="AA75"/>
      <c r="AB75"/>
      <c r="AC75"/>
      <c r="AD75"/>
      <c r="AE75"/>
    </row>
    <row r="76" spans="2:31" ht="14.25" customHeight="1" x14ac:dyDescent="0.25">
      <c r="B76" s="157" t="s">
        <v>469</v>
      </c>
      <c r="C76" s="242" t="s">
        <v>21</v>
      </c>
      <c r="D76" s="205" t="s">
        <v>815</v>
      </c>
      <c r="E76" s="149"/>
      <c r="F76" s="150"/>
      <c r="G76"/>
      <c r="H76" s="8"/>
      <c r="I76" s="8"/>
      <c r="J76" s="8"/>
      <c r="K76" s="177" t="s">
        <v>472</v>
      </c>
      <c r="L76" s="178"/>
      <c r="M76" s="239" t="s">
        <v>851</v>
      </c>
      <c r="N76" s="205" t="s">
        <v>815</v>
      </c>
      <c r="O76" s="149"/>
      <c r="P76" s="150"/>
      <c r="Q76"/>
      <c r="R76" s="8"/>
      <c r="S76" s="8"/>
      <c r="T76" s="68" t="s">
        <v>453</v>
      </c>
      <c r="U76" s="82" t="s">
        <v>453</v>
      </c>
      <c r="V76" t="s">
        <v>453</v>
      </c>
      <c r="W76" t="s">
        <v>453</v>
      </c>
      <c r="X76" s="6"/>
      <c r="Y76" t="s">
        <v>469</v>
      </c>
      <c r="Z76"/>
      <c r="AA76"/>
      <c r="AB76" t="str">
        <f>IF(Y76=B76,"TRUE","FALSE")</f>
        <v>TRUE</v>
      </c>
      <c r="AC76"/>
      <c r="AD76" s="105" t="s">
        <v>472</v>
      </c>
      <c r="AE76"/>
    </row>
    <row r="77" spans="2:31" ht="14.25" customHeight="1" x14ac:dyDescent="0.25">
      <c r="B77" s="158" t="s">
        <v>800</v>
      </c>
      <c r="C77" s="239" t="s">
        <v>851</v>
      </c>
      <c r="D77" s="205" t="s">
        <v>815</v>
      </c>
      <c r="E77" s="155"/>
      <c r="F77" s="156"/>
      <c r="G77"/>
      <c r="H77" s="8"/>
      <c r="I77" s="8"/>
      <c r="J77" s="8"/>
      <c r="K77" s="177" t="s">
        <v>186</v>
      </c>
      <c r="L77" s="178"/>
      <c r="M77" s="239" t="s">
        <v>21</v>
      </c>
      <c r="N77" s="205" t="s">
        <v>815</v>
      </c>
      <c r="O77" s="146"/>
      <c r="P77" s="151"/>
      <c r="Q77"/>
      <c r="R77" s="8"/>
      <c r="S77" s="8"/>
      <c r="T77" s="68" t="s">
        <v>453</v>
      </c>
      <c r="U77" s="83" t="s">
        <v>453</v>
      </c>
      <c r="V77" t="s">
        <v>453</v>
      </c>
      <c r="W77" t="s">
        <v>453</v>
      </c>
      <c r="X77" s="6"/>
      <c r="Y77" t="s">
        <v>106</v>
      </c>
      <c r="Z77"/>
      <c r="AA77"/>
      <c r="AB77" t="str">
        <f>IF(Y77=B78,"TRUE","FALSE")</f>
        <v>TRUE</v>
      </c>
      <c r="AC77"/>
      <c r="AD77" t="s">
        <v>186</v>
      </c>
      <c r="AE77"/>
    </row>
    <row r="78" spans="2:31" ht="14.25" customHeight="1" x14ac:dyDescent="0.25">
      <c r="B78" s="158" t="s">
        <v>106</v>
      </c>
      <c r="C78" s="239" t="s">
        <v>851</v>
      </c>
      <c r="D78" s="205" t="s">
        <v>815</v>
      </c>
      <c r="E78" s="146"/>
      <c r="F78" s="151"/>
      <c r="G78"/>
      <c r="H78" s="8"/>
      <c r="I78" s="8"/>
      <c r="J78" s="8"/>
      <c r="K78" s="177" t="s">
        <v>82</v>
      </c>
      <c r="L78" s="178"/>
      <c r="M78" s="240" t="s">
        <v>21</v>
      </c>
      <c r="N78" s="205" t="s">
        <v>815</v>
      </c>
      <c r="O78" s="146"/>
      <c r="P78" s="151"/>
      <c r="Q78"/>
      <c r="R78" s="8"/>
      <c r="S78" s="8"/>
      <c r="T78" s="69" t="s">
        <v>453</v>
      </c>
      <c r="U78" s="83" t="s">
        <v>453</v>
      </c>
      <c r="V78" t="s">
        <v>453</v>
      </c>
      <c r="W78" t="s">
        <v>453</v>
      </c>
      <c r="X78" s="6"/>
      <c r="Y78" t="s">
        <v>110</v>
      </c>
      <c r="Z78"/>
      <c r="AA78"/>
      <c r="AB78" t="str">
        <f>IF(Y78=B79,"TRUE","FALSE")</f>
        <v>TRUE</v>
      </c>
      <c r="AC78"/>
      <c r="AD78" t="s">
        <v>810</v>
      </c>
      <c r="AE78"/>
    </row>
    <row r="79" spans="2:31" ht="14.25" customHeight="1" x14ac:dyDescent="0.25">
      <c r="B79" s="158" t="s">
        <v>110</v>
      </c>
      <c r="C79" s="239" t="s">
        <v>851</v>
      </c>
      <c r="D79" s="204" t="s">
        <v>816</v>
      </c>
      <c r="E79" s="146"/>
      <c r="F79" s="151"/>
      <c r="G79"/>
      <c r="H79" s="8"/>
      <c r="I79" s="8"/>
      <c r="J79" s="8"/>
      <c r="K79" s="177" t="s">
        <v>473</v>
      </c>
      <c r="L79" s="178"/>
      <c r="M79" s="239" t="s">
        <v>851</v>
      </c>
      <c r="N79" s="205" t="s">
        <v>815</v>
      </c>
      <c r="O79" s="146"/>
      <c r="P79" s="151"/>
      <c r="Q79"/>
      <c r="R79" s="8"/>
      <c r="S79" s="8"/>
      <c r="T79" s="69" t="s">
        <v>453</v>
      </c>
      <c r="U79" s="83" t="s">
        <v>453</v>
      </c>
      <c r="V79" t="s">
        <v>453</v>
      </c>
      <c r="W79" t="s">
        <v>453</v>
      </c>
      <c r="X79" s="6"/>
      <c r="Y79" t="s">
        <v>114</v>
      </c>
      <c r="Z79"/>
      <c r="AA79"/>
      <c r="AB79" t="e">
        <f>IF(Y79=#REF!,"TRUE","FALSE")</f>
        <v>#REF!</v>
      </c>
      <c r="AC79"/>
      <c r="AD79" t="s">
        <v>473</v>
      </c>
      <c r="AE79"/>
    </row>
    <row r="80" spans="2:31" ht="14.25" customHeight="1" x14ac:dyDescent="0.25">
      <c r="B80" s="158" t="s">
        <v>470</v>
      </c>
      <c r="C80" s="239" t="s">
        <v>851</v>
      </c>
      <c r="D80" s="205" t="s">
        <v>815</v>
      </c>
      <c r="E80" s="146"/>
      <c r="F80" s="151"/>
      <c r="G80"/>
      <c r="H80" s="8"/>
      <c r="I80" s="8"/>
      <c r="J80" s="8"/>
      <c r="K80" s="177" t="s">
        <v>111</v>
      </c>
      <c r="L80" s="178"/>
      <c r="M80" s="239" t="s">
        <v>851</v>
      </c>
      <c r="N80" s="205" t="s">
        <v>815</v>
      </c>
      <c r="O80" s="146"/>
      <c r="P80" s="151"/>
      <c r="Q80"/>
      <c r="R80" s="8"/>
      <c r="S80" s="8"/>
      <c r="T80" s="69" t="s">
        <v>453</v>
      </c>
      <c r="U80" s="83" t="s">
        <v>453</v>
      </c>
      <c r="V80" t="s">
        <v>453</v>
      </c>
      <c r="W80" t="e">
        <f>INDEX('Country Code LU'!$B$2:$B$250,MATCH('Priority Manifest'!#REF!,'Country Code LU'!$A$2:$A$250,0))</f>
        <v>#REF!</v>
      </c>
      <c r="X80" s="6"/>
      <c r="Y80" t="s">
        <v>470</v>
      </c>
      <c r="Z80"/>
      <c r="AA80"/>
      <c r="AB80" t="str">
        <f t="shared" ref="AB80:AB82" si="2">IF(Y80=B80,"TRUE","FALSE")</f>
        <v>TRUE</v>
      </c>
      <c r="AC80"/>
      <c r="AD80" t="s">
        <v>111</v>
      </c>
      <c r="AE80"/>
    </row>
    <row r="81" spans="2:31" ht="14.25" customHeight="1" x14ac:dyDescent="0.25">
      <c r="B81" s="158" t="s">
        <v>118</v>
      </c>
      <c r="C81" s="239" t="s">
        <v>21</v>
      </c>
      <c r="D81" s="205" t="s">
        <v>815</v>
      </c>
      <c r="E81" s="146"/>
      <c r="F81" s="151"/>
      <c r="G81"/>
      <c r="H81" s="8"/>
      <c r="I81" s="8"/>
      <c r="J81" s="8"/>
      <c r="K81" s="177" t="s">
        <v>115</v>
      </c>
      <c r="L81" s="178"/>
      <c r="M81" s="239" t="s">
        <v>851</v>
      </c>
      <c r="N81" s="205" t="s">
        <v>815</v>
      </c>
      <c r="O81" s="146"/>
      <c r="P81" s="151"/>
      <c r="Q81"/>
      <c r="R81" s="8"/>
      <c r="S81" s="8"/>
      <c r="T81" s="69" t="s">
        <v>453</v>
      </c>
      <c r="U81" s="83" t="s">
        <v>453</v>
      </c>
      <c r="V81" t="s">
        <v>453</v>
      </c>
      <c r="W81" t="s">
        <v>453</v>
      </c>
      <c r="X81" s="6"/>
      <c r="Y81" t="s">
        <v>118</v>
      </c>
      <c r="Z81"/>
      <c r="AA81"/>
      <c r="AB81" t="str">
        <f t="shared" si="2"/>
        <v>TRUE</v>
      </c>
      <c r="AC81"/>
      <c r="AD81" t="s">
        <v>115</v>
      </c>
      <c r="AE81"/>
    </row>
    <row r="82" spans="2:31" ht="14.25" customHeight="1" x14ac:dyDescent="0.25">
      <c r="B82" s="158" t="s">
        <v>122</v>
      </c>
      <c r="C82" s="239" t="s">
        <v>851</v>
      </c>
      <c r="D82" s="205" t="s">
        <v>815</v>
      </c>
      <c r="E82" s="146"/>
      <c r="F82" s="151"/>
      <c r="G82"/>
      <c r="H82" s="8"/>
      <c r="I82" s="8"/>
      <c r="J82" s="8"/>
      <c r="K82" s="175" t="s">
        <v>119</v>
      </c>
      <c r="L82" s="176"/>
      <c r="M82" s="239" t="s">
        <v>851</v>
      </c>
      <c r="N82" s="205" t="s">
        <v>815</v>
      </c>
      <c r="O82" s="146"/>
      <c r="P82" s="151"/>
      <c r="Q82"/>
      <c r="R82" s="8"/>
      <c r="S82" s="8"/>
      <c r="T82" s="69" t="s">
        <v>453</v>
      </c>
      <c r="U82" s="83" t="s">
        <v>453</v>
      </c>
      <c r="V82" t="s">
        <v>453</v>
      </c>
      <c r="W82" t="s">
        <v>453</v>
      </c>
      <c r="X82" s="6"/>
      <c r="Y82" t="s">
        <v>122</v>
      </c>
      <c r="Z82"/>
      <c r="AA82"/>
      <c r="AB82" t="str">
        <f t="shared" si="2"/>
        <v>TRUE</v>
      </c>
      <c r="AC82"/>
      <c r="AD82" t="s">
        <v>119</v>
      </c>
      <c r="AE82"/>
    </row>
    <row r="83" spans="2:31" ht="14.25" customHeight="1" x14ac:dyDescent="0.25">
      <c r="B83" s="158" t="s">
        <v>130</v>
      </c>
      <c r="C83" s="239" t="s">
        <v>851</v>
      </c>
      <c r="D83" s="205" t="s">
        <v>815</v>
      </c>
      <c r="E83" s="146"/>
      <c r="F83" s="151"/>
      <c r="G83"/>
      <c r="H83" s="8"/>
      <c r="I83" s="8"/>
      <c r="J83" s="8"/>
      <c r="K83" s="175" t="s">
        <v>825</v>
      </c>
      <c r="L83" s="176"/>
      <c r="M83" s="240" t="s">
        <v>21</v>
      </c>
      <c r="N83" s="205" t="s">
        <v>815</v>
      </c>
      <c r="O83" s="146"/>
      <c r="P83" s="151"/>
      <c r="Q83"/>
      <c r="R83" s="8"/>
      <c r="S83" s="8"/>
      <c r="T83" s="69" t="s">
        <v>453</v>
      </c>
      <c r="U83" s="83" t="s">
        <v>453</v>
      </c>
      <c r="V83" t="s">
        <v>453</v>
      </c>
      <c r="W83" t="s">
        <v>453</v>
      </c>
      <c r="X83" s="6"/>
      <c r="Y83" t="s">
        <v>126</v>
      </c>
      <c r="Z83"/>
      <c r="AA83"/>
      <c r="AB83" t="e">
        <f>IF(Y83=#REF!,"TRUE","FALSE")</f>
        <v>#REF!</v>
      </c>
      <c r="AC83"/>
      <c r="AD83" t="s">
        <v>123</v>
      </c>
      <c r="AE83"/>
    </row>
    <row r="84" spans="2:31" ht="14.25" customHeight="1" x14ac:dyDescent="0.25">
      <c r="B84" s="158" t="s">
        <v>134</v>
      </c>
      <c r="C84" s="239" t="s">
        <v>851</v>
      </c>
      <c r="D84" s="205" t="s">
        <v>815</v>
      </c>
      <c r="E84" s="146"/>
      <c r="F84" s="151"/>
      <c r="G84"/>
      <c r="H84" s="8"/>
      <c r="I84" s="8"/>
      <c r="J84" s="8"/>
      <c r="K84" s="177" t="s">
        <v>123</v>
      </c>
      <c r="L84" s="178"/>
      <c r="M84" s="239" t="s">
        <v>851</v>
      </c>
      <c r="N84" s="205" t="s">
        <v>815</v>
      </c>
      <c r="O84" s="146"/>
      <c r="P84" s="151"/>
      <c r="Q84"/>
      <c r="R84" s="8"/>
      <c r="S84" s="8"/>
      <c r="T84" s="69" t="s">
        <v>453</v>
      </c>
      <c r="U84" s="83" t="s">
        <v>453</v>
      </c>
      <c r="V84" t="s">
        <v>453</v>
      </c>
      <c r="W84" t="s">
        <v>453</v>
      </c>
      <c r="X84" s="6"/>
      <c r="Y84" t="s">
        <v>130</v>
      </c>
      <c r="Z84"/>
      <c r="AA84"/>
      <c r="AB84" t="str">
        <f t="shared" ref="AB84:AB99" si="3">IF(Y84=B83,"TRUE","FALSE")</f>
        <v>TRUE</v>
      </c>
      <c r="AC84"/>
      <c r="AD84" t="s">
        <v>127</v>
      </c>
      <c r="AE84"/>
    </row>
    <row r="85" spans="2:31" ht="14.25" customHeight="1" x14ac:dyDescent="0.25">
      <c r="B85" s="158" t="s">
        <v>138</v>
      </c>
      <c r="C85" s="239" t="s">
        <v>851</v>
      </c>
      <c r="D85" s="205" t="s">
        <v>815</v>
      </c>
      <c r="E85" s="146"/>
      <c r="F85" s="151"/>
      <c r="G85"/>
      <c r="H85" s="8"/>
      <c r="I85" s="8"/>
      <c r="J85" s="8"/>
      <c r="K85" s="177" t="s">
        <v>127</v>
      </c>
      <c r="L85" s="178"/>
      <c r="M85" s="239" t="s">
        <v>851</v>
      </c>
      <c r="N85" s="205" t="s">
        <v>815</v>
      </c>
      <c r="O85" s="146"/>
      <c r="P85" s="151"/>
      <c r="Q85"/>
      <c r="R85" s="8"/>
      <c r="S85" s="8"/>
      <c r="T85" s="69" t="s">
        <v>453</v>
      </c>
      <c r="U85" s="83" t="s">
        <v>453</v>
      </c>
      <c r="V85" t="s">
        <v>453</v>
      </c>
      <c r="W85" t="s">
        <v>453</v>
      </c>
      <c r="X85" s="6"/>
      <c r="Y85" t="s">
        <v>134</v>
      </c>
      <c r="Z85"/>
      <c r="AA85"/>
      <c r="AB85" t="str">
        <f t="shared" si="3"/>
        <v>TRUE</v>
      </c>
      <c r="AC85"/>
      <c r="AD85" t="s">
        <v>131</v>
      </c>
      <c r="AE85"/>
    </row>
    <row r="86" spans="2:31" ht="14.25" customHeight="1" x14ac:dyDescent="0.25">
      <c r="B86" s="158" t="s">
        <v>142</v>
      </c>
      <c r="C86" s="239" t="s">
        <v>851</v>
      </c>
      <c r="D86" s="205" t="s">
        <v>815</v>
      </c>
      <c r="E86" s="146"/>
      <c r="F86" s="151"/>
      <c r="G86"/>
      <c r="H86" s="8"/>
      <c r="I86" s="8"/>
      <c r="J86" s="8"/>
      <c r="K86" s="173" t="s">
        <v>131</v>
      </c>
      <c r="L86" s="174"/>
      <c r="M86" s="239" t="s">
        <v>851</v>
      </c>
      <c r="N86" s="205" t="s">
        <v>815</v>
      </c>
      <c r="O86" s="146"/>
      <c r="P86" s="151"/>
      <c r="Q86"/>
      <c r="R86" s="8"/>
      <c r="S86" s="8"/>
      <c r="T86" s="69" t="s">
        <v>453</v>
      </c>
      <c r="U86" s="83" t="s">
        <v>453</v>
      </c>
      <c r="V86" t="s">
        <v>453</v>
      </c>
      <c r="W86" t="s">
        <v>453</v>
      </c>
      <c r="X86" s="6"/>
      <c r="Y86" t="s">
        <v>138</v>
      </c>
      <c r="Z86"/>
      <c r="AA86"/>
      <c r="AB86" t="str">
        <f t="shared" si="3"/>
        <v>TRUE</v>
      </c>
      <c r="AC86"/>
      <c r="AD86" t="s">
        <v>135</v>
      </c>
      <c r="AE86"/>
    </row>
    <row r="87" spans="2:31" ht="14.25" customHeight="1" x14ac:dyDescent="0.25">
      <c r="B87" s="158" t="s">
        <v>146</v>
      </c>
      <c r="C87" s="239" t="s">
        <v>851</v>
      </c>
      <c r="D87" s="205" t="s">
        <v>815</v>
      </c>
      <c r="E87" s="146"/>
      <c r="F87" s="151"/>
      <c r="G87"/>
      <c r="H87" s="8"/>
      <c r="I87" s="8"/>
      <c r="J87" s="8"/>
      <c r="K87" s="177" t="s">
        <v>135</v>
      </c>
      <c r="L87" s="178"/>
      <c r="M87" s="239" t="s">
        <v>851</v>
      </c>
      <c r="N87" s="205" t="s">
        <v>815</v>
      </c>
      <c r="O87" s="146"/>
      <c r="P87" s="151"/>
      <c r="Q87"/>
      <c r="R87" s="8"/>
      <c r="S87" s="8"/>
      <c r="T87" s="69" t="s">
        <v>453</v>
      </c>
      <c r="U87" s="83" t="s">
        <v>453</v>
      </c>
      <c r="V87" t="s">
        <v>453</v>
      </c>
      <c r="W87" t="s">
        <v>453</v>
      </c>
      <c r="X87" s="6"/>
      <c r="Y87" t="s">
        <v>142</v>
      </c>
      <c r="Z87"/>
      <c r="AA87"/>
      <c r="AB87" t="str">
        <f t="shared" si="3"/>
        <v>TRUE</v>
      </c>
      <c r="AC87"/>
      <c r="AD87" t="s">
        <v>811</v>
      </c>
      <c r="AE87"/>
    </row>
    <row r="88" spans="2:31" ht="14.25" customHeight="1" x14ac:dyDescent="0.25">
      <c r="B88" s="158" t="s">
        <v>471</v>
      </c>
      <c r="C88" s="239" t="s">
        <v>851</v>
      </c>
      <c r="D88" s="205" t="s">
        <v>815</v>
      </c>
      <c r="E88" s="146"/>
      <c r="F88" s="151"/>
      <c r="G88"/>
      <c r="H88" s="8"/>
      <c r="I88" s="8"/>
      <c r="J88" s="8"/>
      <c r="K88" s="177" t="s">
        <v>139</v>
      </c>
      <c r="L88" s="178"/>
      <c r="M88" s="239" t="s">
        <v>851</v>
      </c>
      <c r="N88" s="205" t="s">
        <v>815</v>
      </c>
      <c r="O88" s="146"/>
      <c r="P88" s="151"/>
      <c r="Q88"/>
      <c r="R88" s="8"/>
      <c r="S88" s="8"/>
      <c r="T88" s="69" t="s">
        <v>453</v>
      </c>
      <c r="U88" s="83" t="s">
        <v>453</v>
      </c>
      <c r="V88" t="s">
        <v>453</v>
      </c>
      <c r="W88" t="s">
        <v>453</v>
      </c>
      <c r="X88" s="6"/>
      <c r="Y88" t="s">
        <v>146</v>
      </c>
      <c r="Z88"/>
      <c r="AA88"/>
      <c r="AB88" t="str">
        <f t="shared" si="3"/>
        <v>TRUE</v>
      </c>
      <c r="AC88"/>
      <c r="AD88" t="s">
        <v>143</v>
      </c>
      <c r="AE88"/>
    </row>
    <row r="89" spans="2:31" ht="14.25" customHeight="1" x14ac:dyDescent="0.25">
      <c r="B89" s="158" t="s">
        <v>150</v>
      </c>
      <c r="C89" s="239" t="s">
        <v>851</v>
      </c>
      <c r="D89" s="205" t="s">
        <v>815</v>
      </c>
      <c r="E89" s="146"/>
      <c r="F89" s="151"/>
      <c r="G89"/>
      <c r="H89" s="8"/>
      <c r="I89" s="8"/>
      <c r="J89" s="8"/>
      <c r="K89" s="177" t="s">
        <v>143</v>
      </c>
      <c r="L89" s="178"/>
      <c r="M89" s="239" t="s">
        <v>851</v>
      </c>
      <c r="N89" s="205" t="s">
        <v>815</v>
      </c>
      <c r="O89" s="146"/>
      <c r="P89" s="151"/>
      <c r="Q89"/>
      <c r="R89" s="8"/>
      <c r="S89" s="8"/>
      <c r="T89" s="69" t="s">
        <v>453</v>
      </c>
      <c r="U89" s="83" t="s">
        <v>453</v>
      </c>
      <c r="V89" t="s">
        <v>453</v>
      </c>
      <c r="W89" t="s">
        <v>453</v>
      </c>
      <c r="X89" s="6"/>
      <c r="Y89" t="s">
        <v>471</v>
      </c>
      <c r="Z89"/>
      <c r="AA89"/>
      <c r="AB89" t="str">
        <f t="shared" si="3"/>
        <v>TRUE</v>
      </c>
      <c r="AC89"/>
      <c r="AD89" t="s">
        <v>147</v>
      </c>
      <c r="AE89"/>
    </row>
    <row r="90" spans="2:31" ht="14.25" customHeight="1" x14ac:dyDescent="0.25">
      <c r="B90" s="158" t="s">
        <v>484</v>
      </c>
      <c r="C90" s="239" t="s">
        <v>851</v>
      </c>
      <c r="D90" s="205" t="s">
        <v>815</v>
      </c>
      <c r="E90" s="146"/>
      <c r="F90" s="151"/>
      <c r="G90"/>
      <c r="H90" s="8"/>
      <c r="I90" s="8"/>
      <c r="J90" s="8"/>
      <c r="K90" s="177" t="s">
        <v>147</v>
      </c>
      <c r="L90" s="178"/>
      <c r="M90" s="239" t="s">
        <v>851</v>
      </c>
      <c r="N90" s="205" t="s">
        <v>815</v>
      </c>
      <c r="O90" s="146"/>
      <c r="P90" s="151"/>
      <c r="Q90"/>
      <c r="R90" s="8"/>
      <c r="S90" s="8"/>
      <c r="T90" s="69" t="s">
        <v>453</v>
      </c>
      <c r="U90" s="83" t="s">
        <v>453</v>
      </c>
      <c r="V90" t="s">
        <v>453</v>
      </c>
      <c r="W90" t="s">
        <v>453</v>
      </c>
      <c r="X90" s="6"/>
      <c r="Y90" t="s">
        <v>150</v>
      </c>
      <c r="Z90"/>
      <c r="AA90"/>
      <c r="AB90" t="str">
        <f t="shared" si="3"/>
        <v>TRUE</v>
      </c>
      <c r="AC90"/>
      <c r="AD90" t="s">
        <v>151</v>
      </c>
      <c r="AE90"/>
    </row>
    <row r="91" spans="2:31" ht="14.25" customHeight="1" x14ac:dyDescent="0.25">
      <c r="B91" s="158" t="s">
        <v>154</v>
      </c>
      <c r="C91" s="239" t="s">
        <v>851</v>
      </c>
      <c r="D91" s="205" t="s">
        <v>815</v>
      </c>
      <c r="E91" s="146"/>
      <c r="F91" s="151"/>
      <c r="G91"/>
      <c r="H91" s="8"/>
      <c r="I91" s="8"/>
      <c r="J91" s="8"/>
      <c r="K91" s="177" t="s">
        <v>151</v>
      </c>
      <c r="L91" s="178"/>
      <c r="M91" s="239" t="s">
        <v>21</v>
      </c>
      <c r="N91" s="205" t="s">
        <v>815</v>
      </c>
      <c r="O91" s="146"/>
      <c r="P91" s="151"/>
      <c r="Q91"/>
      <c r="R91" s="8"/>
      <c r="S91" s="8"/>
      <c r="T91" s="69" t="s">
        <v>453</v>
      </c>
      <c r="U91" s="83" t="s">
        <v>453</v>
      </c>
      <c r="V91" t="s">
        <v>453</v>
      </c>
      <c r="W91" t="s">
        <v>453</v>
      </c>
      <c r="X91" s="6"/>
      <c r="Y91" t="s">
        <v>484</v>
      </c>
      <c r="Z91"/>
      <c r="AA91"/>
      <c r="AB91" t="str">
        <f t="shared" si="3"/>
        <v>TRUE</v>
      </c>
      <c r="AC91"/>
      <c r="AD91" t="s">
        <v>155</v>
      </c>
      <c r="AE91"/>
    </row>
    <row r="92" spans="2:31" ht="14.25" customHeight="1" x14ac:dyDescent="0.25">
      <c r="B92" s="158" t="s">
        <v>158</v>
      </c>
      <c r="C92" s="239" t="s">
        <v>851</v>
      </c>
      <c r="D92" s="205" t="s">
        <v>815</v>
      </c>
      <c r="E92" s="146"/>
      <c r="F92" s="151"/>
      <c r="G92"/>
      <c r="H92" s="8"/>
      <c r="I92" s="8"/>
      <c r="J92" s="8"/>
      <c r="K92" s="177" t="s">
        <v>155</v>
      </c>
      <c r="L92" s="178"/>
      <c r="M92" s="239" t="s">
        <v>21</v>
      </c>
      <c r="N92" s="205" t="s">
        <v>815</v>
      </c>
      <c r="O92" s="146"/>
      <c r="P92" s="151"/>
      <c r="Q92"/>
      <c r="R92" s="8"/>
      <c r="S92" s="8"/>
      <c r="T92" s="69" t="s">
        <v>453</v>
      </c>
      <c r="U92" s="83" t="s">
        <v>453</v>
      </c>
      <c r="V92" t="s">
        <v>453</v>
      </c>
      <c r="W92" t="s">
        <v>453</v>
      </c>
      <c r="X92" s="6"/>
      <c r="Y92" t="s">
        <v>154</v>
      </c>
      <c r="Z92"/>
      <c r="AA92"/>
      <c r="AB92" t="str">
        <f t="shared" si="3"/>
        <v>TRUE</v>
      </c>
      <c r="AC92"/>
      <c r="AD92" t="s">
        <v>159</v>
      </c>
      <c r="AE92"/>
    </row>
    <row r="93" spans="2:31" ht="14.25" customHeight="1" x14ac:dyDescent="0.25">
      <c r="B93" s="158" t="s">
        <v>162</v>
      </c>
      <c r="C93" s="239" t="s">
        <v>851</v>
      </c>
      <c r="D93" s="205" t="s">
        <v>815</v>
      </c>
      <c r="E93" s="146"/>
      <c r="F93" s="151"/>
      <c r="G93"/>
      <c r="H93" s="8"/>
      <c r="I93" s="8"/>
      <c r="J93" s="8"/>
      <c r="K93" s="177" t="s">
        <v>159</v>
      </c>
      <c r="L93" s="178"/>
      <c r="M93" s="239" t="s">
        <v>851</v>
      </c>
      <c r="N93" s="205" t="s">
        <v>815</v>
      </c>
      <c r="O93" s="146"/>
      <c r="P93" s="151"/>
      <c r="Q93"/>
      <c r="R93" s="8"/>
      <c r="S93" s="8"/>
      <c r="T93" s="69" t="s">
        <v>453</v>
      </c>
      <c r="U93" s="83" t="s">
        <v>453</v>
      </c>
      <c r="V93" t="s">
        <v>453</v>
      </c>
      <c r="W93" t="s">
        <v>453</v>
      </c>
      <c r="X93" s="6"/>
      <c r="Y93" t="s">
        <v>158</v>
      </c>
      <c r="Z93"/>
      <c r="AA93"/>
      <c r="AB93" t="str">
        <f t="shared" si="3"/>
        <v>TRUE</v>
      </c>
      <c r="AC93"/>
      <c r="AD93" t="s">
        <v>163</v>
      </c>
      <c r="AE93"/>
    </row>
    <row r="94" spans="2:31" ht="14.25" customHeight="1" x14ac:dyDescent="0.25">
      <c r="B94" s="158" t="s">
        <v>166</v>
      </c>
      <c r="C94" s="239" t="s">
        <v>851</v>
      </c>
      <c r="D94" s="205" t="s">
        <v>815</v>
      </c>
      <c r="E94" s="146"/>
      <c r="F94" s="151"/>
      <c r="G94"/>
      <c r="H94" s="8"/>
      <c r="I94" s="8"/>
      <c r="J94" s="8"/>
      <c r="K94" s="175" t="s">
        <v>163</v>
      </c>
      <c r="L94" s="176"/>
      <c r="M94" s="239" t="s">
        <v>851</v>
      </c>
      <c r="N94" s="205" t="s">
        <v>815</v>
      </c>
      <c r="O94" s="146"/>
      <c r="P94" s="151"/>
      <c r="Q94"/>
      <c r="R94" s="8"/>
      <c r="S94" s="8"/>
      <c r="T94" s="69" t="s">
        <v>453</v>
      </c>
      <c r="U94" s="83" t="s">
        <v>453</v>
      </c>
      <c r="V94" t="s">
        <v>453</v>
      </c>
      <c r="W94" t="s">
        <v>453</v>
      </c>
      <c r="X94" s="6"/>
      <c r="Y94" t="s">
        <v>162</v>
      </c>
      <c r="Z94"/>
      <c r="AA94"/>
      <c r="AB94" t="str">
        <f t="shared" si="3"/>
        <v>TRUE</v>
      </c>
      <c r="AC94"/>
      <c r="AD94" t="s">
        <v>167</v>
      </c>
      <c r="AE94"/>
    </row>
    <row r="95" spans="2:31" ht="14.25" customHeight="1" x14ac:dyDescent="0.25">
      <c r="B95" s="158" t="s">
        <v>170</v>
      </c>
      <c r="C95" s="239" t="s">
        <v>851</v>
      </c>
      <c r="D95" s="205" t="s">
        <v>815</v>
      </c>
      <c r="E95" s="146"/>
      <c r="F95" s="151"/>
      <c r="G95"/>
      <c r="H95" s="8"/>
      <c r="I95" s="8"/>
      <c r="J95" s="8"/>
      <c r="K95" s="177" t="s">
        <v>167</v>
      </c>
      <c r="L95" s="178"/>
      <c r="M95" s="239" t="s">
        <v>851</v>
      </c>
      <c r="N95" s="205" t="s">
        <v>815</v>
      </c>
      <c r="O95" s="146"/>
      <c r="P95" s="151"/>
      <c r="Q95"/>
      <c r="R95" s="8"/>
      <c r="S95" s="8"/>
      <c r="T95" s="69" t="s">
        <v>453</v>
      </c>
      <c r="U95" s="83" t="s">
        <v>453</v>
      </c>
      <c r="V95" t="s">
        <v>453</v>
      </c>
      <c r="W95" t="s">
        <v>453</v>
      </c>
      <c r="X95" s="6"/>
      <c r="Y95" t="s">
        <v>166</v>
      </c>
      <c r="Z95"/>
      <c r="AA95"/>
      <c r="AB95" t="str">
        <f t="shared" si="3"/>
        <v>TRUE</v>
      </c>
      <c r="AC95"/>
      <c r="AD95" t="s">
        <v>171</v>
      </c>
      <c r="AE95"/>
    </row>
    <row r="96" spans="2:31" ht="14.25" customHeight="1" x14ac:dyDescent="0.25">
      <c r="B96" s="158" t="s">
        <v>174</v>
      </c>
      <c r="C96" s="239" t="s">
        <v>851</v>
      </c>
      <c r="D96" s="205" t="s">
        <v>815</v>
      </c>
      <c r="E96" s="146"/>
      <c r="F96" s="151"/>
      <c r="G96"/>
      <c r="H96" s="8"/>
      <c r="I96" s="8"/>
      <c r="J96" s="8"/>
      <c r="K96" s="173" t="s">
        <v>175</v>
      </c>
      <c r="L96" s="174"/>
      <c r="M96" s="239" t="s">
        <v>851</v>
      </c>
      <c r="N96" s="205" t="s">
        <v>815</v>
      </c>
      <c r="O96" s="146"/>
      <c r="P96" s="151"/>
      <c r="Q96"/>
      <c r="R96" s="8"/>
      <c r="S96" s="8"/>
      <c r="T96" s="69" t="s">
        <v>453</v>
      </c>
      <c r="U96" s="83" t="s">
        <v>453</v>
      </c>
      <c r="V96" t="s">
        <v>453</v>
      </c>
      <c r="W96" t="s">
        <v>453</v>
      </c>
      <c r="X96" s="6"/>
      <c r="Y96" t="s">
        <v>170</v>
      </c>
      <c r="Z96"/>
      <c r="AA96"/>
      <c r="AB96" t="str">
        <f t="shared" si="3"/>
        <v>TRUE</v>
      </c>
      <c r="AC96"/>
      <c r="AD96" t="s">
        <v>175</v>
      </c>
      <c r="AE96"/>
    </row>
    <row r="97" spans="2:32" ht="14.25" customHeight="1" x14ac:dyDescent="0.25">
      <c r="B97" s="158" t="s">
        <v>823</v>
      </c>
      <c r="C97" s="239" t="s">
        <v>851</v>
      </c>
      <c r="D97" s="205" t="s">
        <v>815</v>
      </c>
      <c r="E97" s="146"/>
      <c r="F97" s="151"/>
      <c r="G97"/>
      <c r="H97" s="8"/>
      <c r="I97" s="8"/>
      <c r="J97" s="8"/>
      <c r="K97" s="177" t="s">
        <v>179</v>
      </c>
      <c r="L97" s="178"/>
      <c r="M97" s="239" t="s">
        <v>851</v>
      </c>
      <c r="N97" s="205" t="s">
        <v>815</v>
      </c>
      <c r="O97" s="146"/>
      <c r="P97" s="151"/>
      <c r="Q97"/>
      <c r="R97" s="8"/>
      <c r="S97" s="8"/>
      <c r="T97" s="69" t="s">
        <v>453</v>
      </c>
      <c r="U97" s="83" t="s">
        <v>453</v>
      </c>
      <c r="V97" t="s">
        <v>453</v>
      </c>
      <c r="W97" t="s">
        <v>453</v>
      </c>
      <c r="X97" s="6"/>
      <c r="Y97" t="s">
        <v>174</v>
      </c>
      <c r="Z97"/>
      <c r="AA97"/>
      <c r="AB97" t="str">
        <f t="shared" si="3"/>
        <v>TRUE</v>
      </c>
      <c r="AC97"/>
      <c r="AD97" t="s">
        <v>179</v>
      </c>
      <c r="AE97"/>
    </row>
    <row r="98" spans="2:32" ht="14.25" customHeight="1" thickBot="1" x14ac:dyDescent="0.3">
      <c r="B98" s="159" t="s">
        <v>824</v>
      </c>
      <c r="C98" s="243" t="s">
        <v>851</v>
      </c>
      <c r="D98" s="205" t="s">
        <v>815</v>
      </c>
      <c r="E98" s="153"/>
      <c r="F98" s="154"/>
      <c r="G98"/>
      <c r="H98" s="8"/>
      <c r="I98" s="8"/>
      <c r="J98" s="8"/>
      <c r="K98" s="177" t="s">
        <v>830</v>
      </c>
      <c r="L98" s="178"/>
      <c r="M98" s="239" t="s">
        <v>851</v>
      </c>
      <c r="N98" s="205" t="s">
        <v>815</v>
      </c>
      <c r="O98" s="146"/>
      <c r="P98" s="151"/>
      <c r="Q98"/>
      <c r="R98" s="8"/>
      <c r="S98" s="8"/>
      <c r="T98" s="69" t="s">
        <v>453</v>
      </c>
      <c r="U98" s="83" t="s">
        <v>453</v>
      </c>
      <c r="V98" t="s">
        <v>453</v>
      </c>
      <c r="W98" t="s">
        <v>453</v>
      </c>
      <c r="X98" s="6"/>
      <c r="Y98" t="s">
        <v>178</v>
      </c>
      <c r="Z98"/>
      <c r="AA98"/>
      <c r="AB98" t="str">
        <f t="shared" si="3"/>
        <v>FALSE</v>
      </c>
      <c r="AC98"/>
      <c r="AD98" t="s">
        <v>183</v>
      </c>
      <c r="AE98"/>
    </row>
    <row r="99" spans="2:32" ht="14.25" customHeight="1" thickBot="1" x14ac:dyDescent="0.3">
      <c r="C99"/>
      <c r="D99"/>
      <c r="E99"/>
      <c r="F99"/>
      <c r="G99"/>
      <c r="H99" s="8"/>
      <c r="I99" s="8"/>
      <c r="J99" s="8"/>
      <c r="K99" s="177" t="s">
        <v>188</v>
      </c>
      <c r="L99" s="178"/>
      <c r="M99" s="241" t="s">
        <v>21</v>
      </c>
      <c r="N99" s="205" t="s">
        <v>815</v>
      </c>
      <c r="O99" s="153"/>
      <c r="P99" s="154"/>
      <c r="Q99"/>
      <c r="R99" s="8"/>
      <c r="S99" s="8"/>
      <c r="T99" s="73" t="s">
        <v>453</v>
      </c>
      <c r="U99" s="84" t="s">
        <v>453</v>
      </c>
      <c r="V99" t="s">
        <v>453</v>
      </c>
      <c r="W99" t="str">
        <f>INDEX('Country Code LU'!$B$2:$B$250,MATCH('Priority Manifest'!$K99,'Country Code LU'!$A$2:$A$250,0))</f>
        <v>CY</v>
      </c>
      <c r="X99" s="6"/>
      <c r="Y99" t="s">
        <v>182</v>
      </c>
      <c r="Z99"/>
      <c r="AA99"/>
      <c r="AB99" t="str">
        <f t="shared" si="3"/>
        <v>FALSE</v>
      </c>
      <c r="AC99"/>
      <c r="AD99" t="s">
        <v>188</v>
      </c>
      <c r="AE99"/>
    </row>
    <row r="100" spans="2:32" ht="16.5" customHeight="1" x14ac:dyDescent="0.25">
      <c r="B100" s="7"/>
      <c r="C100" s="8"/>
      <c r="D100" s="8"/>
      <c r="E100" s="8"/>
      <c r="F100" s="8"/>
      <c r="G100"/>
      <c r="H100" s="8"/>
      <c r="I100" s="8"/>
      <c r="J100" s="8"/>
      <c r="K100" s="8"/>
      <c r="L100" s="8"/>
      <c r="M100" s="8"/>
      <c r="N100" s="8"/>
      <c r="O100" s="8"/>
      <c r="P100" s="8"/>
      <c r="Q100"/>
      <c r="R100" s="8"/>
      <c r="S100" s="8"/>
      <c r="T100" s="74"/>
      <c r="U100" s="74"/>
      <c r="V100"/>
      <c r="W100"/>
      <c r="X100" s="6"/>
      <c r="Y100"/>
      <c r="Z100"/>
      <c r="AA100"/>
      <c r="AB100"/>
      <c r="AC100"/>
      <c r="AD100"/>
      <c r="AE100"/>
    </row>
    <row r="101" spans="2:32" ht="4.5" customHeight="1" x14ac:dyDescent="0.25">
      <c r="B101" s="7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/>
      <c r="N101"/>
      <c r="O101"/>
      <c r="P101"/>
      <c r="Q101"/>
      <c r="R101" s="8"/>
      <c r="S101" s="8"/>
      <c r="T101" s="8"/>
      <c r="U101" s="8"/>
      <c r="V101"/>
      <c r="W101"/>
      <c r="X101" s="8"/>
      <c r="Y101"/>
      <c r="Z101"/>
      <c r="AA101"/>
      <c r="AB101"/>
      <c r="AC101"/>
      <c r="AD101"/>
      <c r="AE101"/>
    </row>
    <row r="102" spans="2:32" ht="27.75" x14ac:dyDescent="0.25">
      <c r="B102" s="109" t="s">
        <v>819</v>
      </c>
      <c r="C102" s="10"/>
      <c r="D102" s="10"/>
      <c r="E102" s="10"/>
      <c r="F102" s="9"/>
      <c r="G102" s="8"/>
      <c r="H102" s="8"/>
      <c r="I102" s="8"/>
      <c r="J102" s="8"/>
      <c r="K102" s="8"/>
      <c r="L102" s="8"/>
      <c r="M102"/>
      <c r="N102"/>
      <c r="O102"/>
      <c r="P102"/>
      <c r="Q102"/>
      <c r="R102" s="8"/>
      <c r="S102" s="8"/>
      <c r="T102" s="8"/>
      <c r="U102" s="8"/>
      <c r="V102"/>
      <c r="W102"/>
      <c r="X102" s="8"/>
      <c r="Y102"/>
      <c r="Z102"/>
      <c r="AA102"/>
      <c r="AB102"/>
      <c r="AC102"/>
      <c r="AD102"/>
      <c r="AE102"/>
    </row>
    <row r="103" spans="2:32" s="9" customFormat="1" ht="27.75" customHeight="1" x14ac:dyDescent="0.25">
      <c r="B103" s="12" t="str">
        <f>B4</f>
        <v>Valid from 1st January 2025</v>
      </c>
      <c r="C103" s="13"/>
      <c r="D103" s="13"/>
      <c r="E103" s="13"/>
      <c r="F103" s="8"/>
      <c r="H103" s="11"/>
      <c r="I103" s="11"/>
      <c r="J103" s="11"/>
      <c r="K103" s="8"/>
      <c r="L103" s="8"/>
      <c r="M103"/>
      <c r="N103"/>
      <c r="O103"/>
      <c r="P103"/>
      <c r="Q103"/>
      <c r="R103" s="11"/>
      <c r="U103" s="11"/>
      <c r="V103"/>
      <c r="W103"/>
      <c r="X103" s="11"/>
      <c r="Y103"/>
      <c r="Z103"/>
      <c r="AA103"/>
      <c r="AB103"/>
      <c r="AC103"/>
      <c r="AD103"/>
      <c r="AE103"/>
    </row>
    <row r="104" spans="2:32" ht="26.25" thickBot="1" x14ac:dyDescent="0.3">
      <c r="B104" s="14"/>
      <c r="C104" s="13"/>
      <c r="D104" s="13"/>
      <c r="E104" s="13"/>
      <c r="F104" s="8"/>
      <c r="G104" s="8"/>
      <c r="H104" s="8"/>
      <c r="I104" s="8"/>
      <c r="J104" s="8"/>
      <c r="K104" s="9"/>
      <c r="L104" s="9"/>
      <c r="M104"/>
      <c r="N104"/>
      <c r="O104"/>
      <c r="P104"/>
      <c r="Q104"/>
      <c r="R104" s="8"/>
      <c r="S104" s="8"/>
      <c r="T104" s="8"/>
      <c r="U104" s="8"/>
      <c r="V104"/>
      <c r="W104"/>
      <c r="X104" s="8"/>
      <c r="Y104"/>
      <c r="Z104"/>
      <c r="AA104"/>
      <c r="AB104"/>
      <c r="AC104"/>
      <c r="AD104"/>
      <c r="AE104"/>
    </row>
    <row r="105" spans="2:32" ht="15.75" thickBot="1" x14ac:dyDescent="0.3">
      <c r="B105" s="311" t="s">
        <v>0</v>
      </c>
      <c r="C105" s="312"/>
      <c r="D105" s="306" t="str">
        <f>IF($D$6=0,"",$D$6)</f>
        <v>Citipost Limited</v>
      </c>
      <c r="E105" s="306"/>
      <c r="F105" s="306"/>
      <c r="G105" s="312" t="s">
        <v>3</v>
      </c>
      <c r="H105" s="312"/>
      <c r="I105" s="172" t="str">
        <f>IF($D$7=0,"",$D$7)</f>
        <v/>
      </c>
      <c r="J105" s="172"/>
      <c r="K105" s="172"/>
      <c r="L105" s="312" t="s">
        <v>2</v>
      </c>
      <c r="M105" s="312"/>
      <c r="N105" s="144" t="str">
        <f>IF($N$6=0,"",$N$6)</f>
        <v/>
      </c>
      <c r="O105" s="143"/>
      <c r="P105" s="143"/>
      <c r="Q105" s="145"/>
      <c r="R105" s="8"/>
      <c r="S105" s="8"/>
      <c r="T105" s="8"/>
      <c r="U105" s="8"/>
      <c r="V105"/>
      <c r="W105"/>
      <c r="X105" s="8"/>
      <c r="Y105"/>
      <c r="Z105"/>
      <c r="AA105"/>
      <c r="AB105"/>
      <c r="AC105"/>
      <c r="AD105"/>
      <c r="AE105"/>
    </row>
    <row r="106" spans="2:32" ht="14.25" customHeight="1" x14ac:dyDescent="0.25"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6"/>
      <c r="M106" s="87"/>
      <c r="N106" s="87"/>
      <c r="O106" s="87"/>
      <c r="P106" s="86"/>
      <c r="Q106" s="86"/>
      <c r="R106" s="8"/>
      <c r="S106" s="8"/>
      <c r="T106" s="8"/>
      <c r="U106" s="8"/>
      <c r="V106"/>
      <c r="W106"/>
      <c r="X106" s="8"/>
      <c r="Y106"/>
      <c r="Z106"/>
      <c r="AA106"/>
      <c r="AB106"/>
      <c r="AC106"/>
      <c r="AD106"/>
      <c r="AE106"/>
    </row>
    <row r="107" spans="2:32" ht="15.75" thickBot="1" x14ac:dyDescent="0.3">
      <c r="B107" s="58"/>
      <c r="C107" s="58"/>
      <c r="D107" s="58"/>
      <c r="E107" s="58"/>
      <c r="F107" s="58"/>
      <c r="G107" s="78">
        <v>1</v>
      </c>
      <c r="H107" s="78"/>
      <c r="I107" s="78"/>
      <c r="J107" s="78"/>
      <c r="K107" s="78"/>
      <c r="L107" s="62"/>
      <c r="M107" s="62"/>
      <c r="N107" s="62"/>
      <c r="O107" s="62"/>
      <c r="P107" s="62"/>
      <c r="Q107" s="62">
        <v>2</v>
      </c>
      <c r="R107" s="87"/>
      <c r="S107" s="86"/>
      <c r="T107" s="86"/>
      <c r="U107" s="87"/>
      <c r="V107"/>
      <c r="W107"/>
      <c r="X107" s="87"/>
      <c r="Y107"/>
      <c r="Z107"/>
      <c r="AA107"/>
      <c r="AB107"/>
      <c r="AC107"/>
      <c r="AD107"/>
      <c r="AE107"/>
    </row>
    <row r="108" spans="2:32" s="19" customFormat="1" ht="18.75" thickBot="1" x14ac:dyDescent="0.3">
      <c r="B108" s="25"/>
      <c r="C108" s="246" t="s">
        <v>456</v>
      </c>
      <c r="D108" s="247"/>
      <c r="E108" s="247"/>
      <c r="F108" s="248"/>
      <c r="G108"/>
      <c r="H108"/>
      <c r="I108"/>
      <c r="J108"/>
      <c r="K108"/>
      <c r="L108"/>
      <c r="M108" s="274" t="s">
        <v>456</v>
      </c>
      <c r="N108" s="274"/>
      <c r="O108" s="274"/>
      <c r="P108" s="274"/>
      <c r="Q108"/>
      <c r="R108" s="62"/>
      <c r="S108" s="63"/>
      <c r="T108" s="63"/>
      <c r="U108" s="62"/>
      <c r="V108"/>
      <c r="W108"/>
      <c r="X108" s="62"/>
      <c r="Y108"/>
      <c r="Z108"/>
      <c r="AA108"/>
      <c r="AB108"/>
      <c r="AC108"/>
      <c r="AD108"/>
      <c r="AE108"/>
    </row>
    <row r="109" spans="2:32" ht="15" customHeight="1" thickBot="1" x14ac:dyDescent="0.3">
      <c r="C109" s="226" t="s">
        <v>14</v>
      </c>
      <c r="D109" s="227" t="s">
        <v>15</v>
      </c>
      <c r="E109" s="227" t="s">
        <v>16</v>
      </c>
      <c r="F109" s="228" t="s">
        <v>17</v>
      </c>
      <c r="G109"/>
      <c r="H109"/>
      <c r="I109"/>
      <c r="J109"/>
      <c r="K109"/>
      <c r="L109"/>
      <c r="M109" s="219" t="s">
        <v>14</v>
      </c>
      <c r="N109" s="220" t="s">
        <v>15</v>
      </c>
      <c r="O109" s="220" t="s">
        <v>16</v>
      </c>
      <c r="P109" s="221" t="s">
        <v>17</v>
      </c>
      <c r="Q109"/>
      <c r="R109" s="26"/>
      <c r="S109" s="26"/>
      <c r="T109" s="26"/>
      <c r="U109" s="64"/>
      <c r="V109"/>
      <c r="W109"/>
      <c r="X109" s="64"/>
      <c r="Y109"/>
      <c r="Z109"/>
      <c r="AA109"/>
      <c r="AB109"/>
      <c r="AC109"/>
      <c r="AD109"/>
      <c r="AE109"/>
    </row>
    <row r="110" spans="2:32" ht="15" customHeight="1" x14ac:dyDescent="0.25">
      <c r="B110" s="117" t="s">
        <v>190</v>
      </c>
      <c r="C110" s="239" t="s">
        <v>851</v>
      </c>
      <c r="D110" s="205" t="s">
        <v>815</v>
      </c>
      <c r="E110" s="155"/>
      <c r="F110" s="156"/>
      <c r="G110"/>
      <c r="H110"/>
      <c r="I110"/>
      <c r="J110"/>
      <c r="K110" s="179" t="s">
        <v>195</v>
      </c>
      <c r="L110" s="180"/>
      <c r="M110" s="239" t="s">
        <v>851</v>
      </c>
      <c r="N110" s="205" t="s">
        <v>815</v>
      </c>
      <c r="O110" s="149"/>
      <c r="P110" s="150"/>
      <c r="Q110"/>
      <c r="R110" s="29"/>
      <c r="S110" s="29"/>
      <c r="T110" s="29"/>
      <c r="U110" s="64"/>
      <c r="V110"/>
      <c r="W110"/>
      <c r="X110" s="64"/>
      <c r="Y110"/>
      <c r="Z110"/>
      <c r="AA110"/>
      <c r="AB110"/>
      <c r="AC110"/>
      <c r="AD110"/>
      <c r="AE110"/>
    </row>
    <row r="111" spans="2:32" ht="15" x14ac:dyDescent="0.25">
      <c r="B111" s="238" t="s">
        <v>829</v>
      </c>
      <c r="C111" s="239" t="s">
        <v>851</v>
      </c>
      <c r="D111" s="205" t="s">
        <v>815</v>
      </c>
      <c r="E111" s="155"/>
      <c r="F111" s="156"/>
      <c r="G111"/>
      <c r="H111"/>
      <c r="I111"/>
      <c r="J111"/>
      <c r="K111" s="181" t="s">
        <v>834</v>
      </c>
      <c r="L111" s="178"/>
      <c r="M111" s="239" t="s">
        <v>851</v>
      </c>
      <c r="N111" s="205" t="s">
        <v>815</v>
      </c>
      <c r="O111" s="146"/>
      <c r="P111" s="151"/>
      <c r="Q111"/>
      <c r="R111" s="8"/>
      <c r="S111" s="8"/>
      <c r="T111" s="68" t="str">
        <f>IF(D110="#N/A","ZZZZ",D110)</f>
        <v>La Poste</v>
      </c>
      <c r="U111" s="82" t="s">
        <v>453</v>
      </c>
      <c r="V111" t="s">
        <v>453</v>
      </c>
      <c r="W111" t="s">
        <v>453</v>
      </c>
      <c r="X111" s="8"/>
      <c r="Y111" t="s">
        <v>190</v>
      </c>
      <c r="Z111"/>
      <c r="AA111"/>
      <c r="AB111"/>
      <c r="AC111"/>
      <c r="AD111" t="s">
        <v>195</v>
      </c>
      <c r="AE111"/>
      <c r="AF111" s="47"/>
    </row>
    <row r="112" spans="2:32" ht="15" x14ac:dyDescent="0.25">
      <c r="B112" s="119" t="s">
        <v>194</v>
      </c>
      <c r="C112" s="239" t="s">
        <v>851</v>
      </c>
      <c r="D112" s="205" t="s">
        <v>815</v>
      </c>
      <c r="E112" s="146"/>
      <c r="F112" s="151"/>
      <c r="G112"/>
      <c r="H112"/>
      <c r="I112"/>
      <c r="J112"/>
      <c r="K112" s="181" t="s">
        <v>203</v>
      </c>
      <c r="L112" s="178"/>
      <c r="M112" s="239" t="s">
        <v>851</v>
      </c>
      <c r="N112" s="205" t="s">
        <v>815</v>
      </c>
      <c r="O112" s="146"/>
      <c r="P112" s="151"/>
      <c r="Q112"/>
      <c r="R112" s="8"/>
      <c r="S112" s="8"/>
      <c r="T112" s="69" t="s">
        <v>453</v>
      </c>
      <c r="U112" s="83" t="s">
        <v>453</v>
      </c>
      <c r="V112" t="s">
        <v>453</v>
      </c>
      <c r="W112" t="s">
        <v>453</v>
      </c>
      <c r="X112" s="8"/>
      <c r="Y112" t="s">
        <v>194</v>
      </c>
      <c r="Z112"/>
      <c r="AA112"/>
      <c r="AB112"/>
      <c r="AC112"/>
      <c r="AD112" t="s">
        <v>199</v>
      </c>
      <c r="AE112"/>
      <c r="AF112" s="47"/>
    </row>
    <row r="113" spans="2:33" ht="15" x14ac:dyDescent="0.25">
      <c r="B113" s="119" t="s">
        <v>198</v>
      </c>
      <c r="C113" s="239" t="s">
        <v>851</v>
      </c>
      <c r="D113" s="205" t="s">
        <v>815</v>
      </c>
      <c r="E113" s="146"/>
      <c r="F113" s="151"/>
      <c r="G113"/>
      <c r="H113"/>
      <c r="I113"/>
      <c r="J113"/>
      <c r="K113" s="181" t="s">
        <v>207</v>
      </c>
      <c r="L113" s="178"/>
      <c r="M113" s="239" t="s">
        <v>851</v>
      </c>
      <c r="N113" s="205" t="s">
        <v>815</v>
      </c>
      <c r="O113" s="146"/>
      <c r="P113" s="151"/>
      <c r="Q113"/>
      <c r="R113" s="8"/>
      <c r="S113" s="8"/>
      <c r="T113" s="69" t="s">
        <v>453</v>
      </c>
      <c r="U113" s="83" t="s">
        <v>453</v>
      </c>
      <c r="V113" t="s">
        <v>453</v>
      </c>
      <c r="W113" t="str">
        <f>INDEX('Country Code LU'!$B$2:$B$250,MATCH('Priority Manifest'!$K112,'Country Code LU'!$A$2:$A$250,0))</f>
        <v>LB</v>
      </c>
      <c r="X113" s="8"/>
      <c r="Y113" t="s">
        <v>198</v>
      </c>
      <c r="Z113"/>
      <c r="AA113"/>
      <c r="AB113"/>
      <c r="AC113"/>
      <c r="AD113" t="s">
        <v>203</v>
      </c>
      <c r="AE113"/>
      <c r="AF113" s="70"/>
    </row>
    <row r="114" spans="2:33" s="72" customFormat="1" ht="13.5" customHeight="1" x14ac:dyDescent="0.25">
      <c r="B114" s="119" t="s">
        <v>206</v>
      </c>
      <c r="C114" s="239" t="s">
        <v>851</v>
      </c>
      <c r="D114" s="205" t="s">
        <v>815</v>
      </c>
      <c r="E114" s="146"/>
      <c r="F114" s="151"/>
      <c r="G114"/>
      <c r="H114"/>
      <c r="I114"/>
      <c r="J114"/>
      <c r="K114" s="182" t="s">
        <v>211</v>
      </c>
      <c r="L114" s="176"/>
      <c r="M114" s="239" t="s">
        <v>851</v>
      </c>
      <c r="N114" s="205" t="s">
        <v>815</v>
      </c>
      <c r="O114" s="146"/>
      <c r="P114" s="151"/>
      <c r="Q114"/>
      <c r="R114" s="8"/>
      <c r="S114" s="8"/>
      <c r="T114" s="69" t="s">
        <v>453</v>
      </c>
      <c r="U114" s="83" t="s">
        <v>453</v>
      </c>
      <c r="V114" t="s">
        <v>453</v>
      </c>
      <c r="W114" t="s">
        <v>453</v>
      </c>
      <c r="X114" s="8"/>
      <c r="Y114" t="s">
        <v>202</v>
      </c>
      <c r="Z114"/>
      <c r="AA114"/>
      <c r="AB114"/>
      <c r="AC114"/>
      <c r="AD114" t="s">
        <v>207</v>
      </c>
      <c r="AE114"/>
      <c r="AF114" s="47"/>
      <c r="AG114" s="71"/>
    </row>
    <row r="115" spans="2:33" s="72" customFormat="1" ht="15" x14ac:dyDescent="0.25">
      <c r="B115" s="119" t="s">
        <v>210</v>
      </c>
      <c r="C115" s="239" t="s">
        <v>851</v>
      </c>
      <c r="D115" s="205" t="s">
        <v>815</v>
      </c>
      <c r="E115" s="146"/>
      <c r="F115" s="151"/>
      <c r="G115"/>
      <c r="H115"/>
      <c r="I115"/>
      <c r="J115"/>
      <c r="K115" s="181" t="s">
        <v>812</v>
      </c>
      <c r="L115" s="178"/>
      <c r="M115" s="239" t="s">
        <v>851</v>
      </c>
      <c r="N115" s="205" t="s">
        <v>815</v>
      </c>
      <c r="O115" s="146"/>
      <c r="P115" s="151"/>
      <c r="Q115"/>
      <c r="R115" s="8"/>
      <c r="S115" s="8"/>
      <c r="T115" s="69" t="s">
        <v>453</v>
      </c>
      <c r="U115" s="83" t="s">
        <v>453</v>
      </c>
      <c r="V115" t="s">
        <v>453</v>
      </c>
      <c r="W115" t="s">
        <v>453</v>
      </c>
      <c r="X115" s="8"/>
      <c r="Y115" t="s">
        <v>206</v>
      </c>
      <c r="Z115"/>
      <c r="AA115"/>
      <c r="AB115"/>
      <c r="AC115"/>
      <c r="AD115" t="s">
        <v>211</v>
      </c>
      <c r="AE115"/>
    </row>
    <row r="116" spans="2:33" ht="14.25" customHeight="1" x14ac:dyDescent="0.25">
      <c r="B116" s="119" t="s">
        <v>214</v>
      </c>
      <c r="C116" s="239" t="s">
        <v>851</v>
      </c>
      <c r="D116" s="205" t="s">
        <v>815</v>
      </c>
      <c r="E116" s="146"/>
      <c r="F116" s="151"/>
      <c r="G116"/>
      <c r="H116"/>
      <c r="I116"/>
      <c r="J116"/>
      <c r="K116" s="181" t="s">
        <v>478</v>
      </c>
      <c r="L116" s="178"/>
      <c r="M116" s="239" t="s">
        <v>851</v>
      </c>
      <c r="N116" s="204" t="s">
        <v>816</v>
      </c>
      <c r="O116" s="146"/>
      <c r="P116" s="151"/>
      <c r="Q116"/>
      <c r="R116" s="8"/>
      <c r="S116" s="8"/>
      <c r="T116" s="69" t="s">
        <v>453</v>
      </c>
      <c r="U116" s="83" t="s">
        <v>453</v>
      </c>
      <c r="V116" t="s">
        <v>453</v>
      </c>
      <c r="W116" t="s">
        <v>453</v>
      </c>
      <c r="X116" s="8"/>
      <c r="Y116" t="s">
        <v>210</v>
      </c>
      <c r="Z116"/>
      <c r="AA116"/>
      <c r="AB116"/>
      <c r="AC116"/>
      <c r="AD116" t="s">
        <v>812</v>
      </c>
      <c r="AE116"/>
    </row>
    <row r="117" spans="2:33" ht="14.25" customHeight="1" x14ac:dyDescent="0.25">
      <c r="B117" s="119" t="s">
        <v>218</v>
      </c>
      <c r="C117" s="239" t="s">
        <v>851</v>
      </c>
      <c r="D117" s="205" t="s">
        <v>815</v>
      </c>
      <c r="E117" s="146"/>
      <c r="F117" s="151"/>
      <c r="G117"/>
      <c r="H117"/>
      <c r="I117"/>
      <c r="J117"/>
      <c r="K117" s="183" t="s">
        <v>219</v>
      </c>
      <c r="L117" s="174"/>
      <c r="M117" s="239" t="s">
        <v>851</v>
      </c>
      <c r="N117" s="205" t="s">
        <v>815</v>
      </c>
      <c r="O117" s="146"/>
      <c r="P117" s="151"/>
      <c r="Q117"/>
      <c r="R117" s="8"/>
      <c r="S117" s="8"/>
      <c r="T117" s="69" t="s">
        <v>453</v>
      </c>
      <c r="U117" s="83" t="s">
        <v>453</v>
      </c>
      <c r="V117" t="s">
        <v>453</v>
      </c>
      <c r="W117" t="s">
        <v>453</v>
      </c>
      <c r="X117" s="8"/>
      <c r="Y117" t="s">
        <v>214</v>
      </c>
      <c r="Z117"/>
      <c r="AA117"/>
      <c r="AB117"/>
      <c r="AC117"/>
      <c r="AD117" t="s">
        <v>478</v>
      </c>
      <c r="AE117"/>
    </row>
    <row r="118" spans="2:33" ht="14.25" customHeight="1" x14ac:dyDescent="0.25">
      <c r="B118" s="119" t="s">
        <v>222</v>
      </c>
      <c r="C118" s="239" t="s">
        <v>851</v>
      </c>
      <c r="D118" s="205" t="s">
        <v>815</v>
      </c>
      <c r="E118" s="146"/>
      <c r="F118" s="151"/>
      <c r="G118"/>
      <c r="H118"/>
      <c r="I118"/>
      <c r="J118"/>
      <c r="K118" s="181" t="s">
        <v>226</v>
      </c>
      <c r="L118" s="178"/>
      <c r="M118" s="239" t="s">
        <v>851</v>
      </c>
      <c r="N118" s="205" t="s">
        <v>815</v>
      </c>
      <c r="O118" s="146"/>
      <c r="P118" s="151"/>
      <c r="Q118"/>
      <c r="R118" s="8"/>
      <c r="S118" s="8"/>
      <c r="T118" s="69" t="s">
        <v>453</v>
      </c>
      <c r="U118" s="83" t="s">
        <v>453</v>
      </c>
      <c r="V118" t="s">
        <v>453</v>
      </c>
      <c r="W118" t="s">
        <v>453</v>
      </c>
      <c r="X118" s="8"/>
      <c r="Y118" t="s">
        <v>218</v>
      </c>
      <c r="Z118"/>
      <c r="AA118"/>
      <c r="AB118"/>
      <c r="AC118"/>
      <c r="AD118" t="s">
        <v>219</v>
      </c>
      <c r="AE118"/>
    </row>
    <row r="119" spans="2:33" ht="14.25" customHeight="1" x14ac:dyDescent="0.25">
      <c r="B119" s="119" t="s">
        <v>225</v>
      </c>
      <c r="C119" s="239" t="s">
        <v>851</v>
      </c>
      <c r="D119" s="205" t="s">
        <v>815</v>
      </c>
      <c r="E119" s="146"/>
      <c r="F119" s="151"/>
      <c r="G119"/>
      <c r="H119"/>
      <c r="I119"/>
      <c r="J119"/>
      <c r="K119" s="181" t="s">
        <v>230</v>
      </c>
      <c r="L119" s="178"/>
      <c r="M119" s="239" t="s">
        <v>851</v>
      </c>
      <c r="N119" s="205" t="s">
        <v>815</v>
      </c>
      <c r="O119" s="146"/>
      <c r="P119" s="151"/>
      <c r="Q119"/>
      <c r="R119" s="8"/>
      <c r="S119" s="8"/>
      <c r="T119" s="69" t="s">
        <v>453</v>
      </c>
      <c r="U119" s="83" t="s">
        <v>453</v>
      </c>
      <c r="V119" t="s">
        <v>453</v>
      </c>
      <c r="W119" t="s">
        <v>453</v>
      </c>
      <c r="X119" s="8"/>
      <c r="Y119" t="s">
        <v>222</v>
      </c>
      <c r="Z119"/>
      <c r="AA119"/>
      <c r="AB119"/>
      <c r="AC119"/>
      <c r="AD119" t="s">
        <v>813</v>
      </c>
      <c r="AE119"/>
    </row>
    <row r="120" spans="2:33" ht="14.25" customHeight="1" x14ac:dyDescent="0.25">
      <c r="B120" s="119" t="s">
        <v>845</v>
      </c>
      <c r="C120" s="239" t="s">
        <v>851</v>
      </c>
      <c r="D120" s="205" t="s">
        <v>815</v>
      </c>
      <c r="E120" s="146"/>
      <c r="F120" s="151"/>
      <c r="G120"/>
      <c r="H120"/>
      <c r="I120"/>
      <c r="J120"/>
      <c r="K120" s="181" t="s">
        <v>234</v>
      </c>
      <c r="L120" s="178"/>
      <c r="M120" s="239" t="s">
        <v>21</v>
      </c>
      <c r="N120" s="205" t="s">
        <v>815</v>
      </c>
      <c r="O120" s="146"/>
      <c r="P120" s="151"/>
      <c r="Q120"/>
      <c r="R120" s="8"/>
      <c r="S120" s="8"/>
      <c r="T120" s="69" t="s">
        <v>453</v>
      </c>
      <c r="U120" s="83" t="s">
        <v>453</v>
      </c>
      <c r="V120" t="s">
        <v>453</v>
      </c>
      <c r="W120" t="s">
        <v>453</v>
      </c>
      <c r="X120" s="8"/>
      <c r="Y120" t="s">
        <v>225</v>
      </c>
      <c r="Z120"/>
      <c r="AA120"/>
      <c r="AB120"/>
      <c r="AC120"/>
      <c r="AD120" t="s">
        <v>226</v>
      </c>
      <c r="AE120"/>
    </row>
    <row r="121" spans="2:33" ht="14.25" customHeight="1" x14ac:dyDescent="0.25">
      <c r="B121" s="119" t="s">
        <v>831</v>
      </c>
      <c r="C121" s="239" t="s">
        <v>21</v>
      </c>
      <c r="D121" s="205" t="s">
        <v>815</v>
      </c>
      <c r="E121" s="146"/>
      <c r="F121" s="151"/>
      <c r="G121"/>
      <c r="H121"/>
      <c r="I121"/>
      <c r="J121"/>
      <c r="K121" s="181" t="s">
        <v>238</v>
      </c>
      <c r="L121" s="178"/>
      <c r="M121" s="239" t="s">
        <v>851</v>
      </c>
      <c r="N121" s="205" t="s">
        <v>815</v>
      </c>
      <c r="O121" s="146"/>
      <c r="P121" s="151"/>
      <c r="Q121"/>
      <c r="R121" s="8"/>
      <c r="S121" s="8"/>
      <c r="T121" s="69" t="s">
        <v>453</v>
      </c>
      <c r="U121" s="83" t="s">
        <v>453</v>
      </c>
      <c r="V121" t="s">
        <v>453</v>
      </c>
      <c r="W121" t="str">
        <f>INDEX('Country Code LU'!$B$2:$B$250,MATCH('Priority Manifest'!$K119,'Country Code LU'!$A$2:$A$250,0))</f>
        <v>MW</v>
      </c>
      <c r="X121" s="8"/>
      <c r="Y121" t="s">
        <v>229</v>
      </c>
      <c r="Z121"/>
      <c r="AA121"/>
      <c r="AB121"/>
      <c r="AC121"/>
      <c r="AD121" t="s">
        <v>230</v>
      </c>
      <c r="AE121"/>
    </row>
    <row r="122" spans="2:33" ht="14.25" customHeight="1" x14ac:dyDescent="0.25">
      <c r="B122" s="119" t="s">
        <v>475</v>
      </c>
      <c r="C122" s="239" t="s">
        <v>21</v>
      </c>
      <c r="D122" s="205" t="s">
        <v>815</v>
      </c>
      <c r="E122" s="146"/>
      <c r="F122" s="151"/>
      <c r="G122"/>
      <c r="H122"/>
      <c r="I122"/>
      <c r="J122"/>
      <c r="K122" s="181" t="s">
        <v>242</v>
      </c>
      <c r="L122" s="178"/>
      <c r="M122" s="239" t="s">
        <v>851</v>
      </c>
      <c r="N122" s="205" t="s">
        <v>815</v>
      </c>
      <c r="O122" s="146"/>
      <c r="P122" s="151"/>
      <c r="Q122"/>
      <c r="R122" s="8"/>
      <c r="S122" s="8"/>
      <c r="T122" s="69" t="s">
        <v>453</v>
      </c>
      <c r="U122" s="83" t="s">
        <v>453</v>
      </c>
      <c r="V122" t="s">
        <v>453</v>
      </c>
      <c r="W122" t="str">
        <f>INDEX('Country Code LU'!$B$2:$B$250,MATCH('Priority Manifest'!$K120,'Country Code LU'!$A$2:$A$250,0))</f>
        <v>MY</v>
      </c>
      <c r="X122" s="8"/>
      <c r="Y122" t="s">
        <v>475</v>
      </c>
      <c r="Z122"/>
      <c r="AA122"/>
      <c r="AB122"/>
      <c r="AC122"/>
      <c r="AD122" t="s">
        <v>234</v>
      </c>
      <c r="AE122"/>
    </row>
    <row r="123" spans="2:33" ht="14.25" customHeight="1" x14ac:dyDescent="0.25">
      <c r="B123" s="158" t="s">
        <v>233</v>
      </c>
      <c r="C123" s="239" t="s">
        <v>851</v>
      </c>
      <c r="D123" s="205" t="s">
        <v>815</v>
      </c>
      <c r="E123" s="146"/>
      <c r="F123" s="151"/>
      <c r="G123"/>
      <c r="H123" s="8"/>
      <c r="I123" s="8"/>
      <c r="J123" s="8"/>
      <c r="K123" s="182" t="s">
        <v>254</v>
      </c>
      <c r="L123" s="176"/>
      <c r="M123" s="239" t="s">
        <v>851</v>
      </c>
      <c r="N123" s="205" t="s">
        <v>815</v>
      </c>
      <c r="O123" s="146"/>
      <c r="P123" s="151"/>
      <c r="Q123"/>
      <c r="R123" s="8"/>
      <c r="S123" s="8"/>
      <c r="T123" s="69" t="s">
        <v>453</v>
      </c>
      <c r="U123" s="83" t="s">
        <v>453</v>
      </c>
      <c r="V123" t="s">
        <v>453</v>
      </c>
      <c r="W123" t="s">
        <v>453</v>
      </c>
      <c r="X123" s="8"/>
      <c r="Y123" t="s">
        <v>233</v>
      </c>
      <c r="Z123"/>
      <c r="AA123"/>
      <c r="AB123"/>
      <c r="AC123"/>
      <c r="AD123" t="s">
        <v>238</v>
      </c>
      <c r="AE123"/>
    </row>
    <row r="124" spans="2:33" ht="14.25" customHeight="1" x14ac:dyDescent="0.25">
      <c r="B124" s="158" t="s">
        <v>237</v>
      </c>
      <c r="C124" s="239" t="s">
        <v>851</v>
      </c>
      <c r="D124" s="205" t="s">
        <v>815</v>
      </c>
      <c r="E124" s="146"/>
      <c r="F124" s="151"/>
      <c r="G124"/>
      <c r="H124" s="8"/>
      <c r="I124" s="8"/>
      <c r="J124" s="8"/>
      <c r="K124" s="181" t="s">
        <v>258</v>
      </c>
      <c r="L124" s="178"/>
      <c r="M124" s="239" t="s">
        <v>851</v>
      </c>
      <c r="N124" s="205" t="s">
        <v>815</v>
      </c>
      <c r="O124" s="146"/>
      <c r="P124" s="151"/>
      <c r="Q124"/>
      <c r="R124" s="8"/>
      <c r="S124" s="8"/>
      <c r="T124" s="69" t="s">
        <v>453</v>
      </c>
      <c r="U124" s="83" t="s">
        <v>453</v>
      </c>
      <c r="V124" t="s">
        <v>453</v>
      </c>
      <c r="W124" t="s">
        <v>453</v>
      </c>
      <c r="X124" s="6"/>
      <c r="Y124" t="s">
        <v>237</v>
      </c>
      <c r="Z124"/>
      <c r="AA124"/>
      <c r="AB124"/>
      <c r="AC124"/>
      <c r="AD124" t="s">
        <v>242</v>
      </c>
      <c r="AE124"/>
    </row>
    <row r="125" spans="2:33" ht="14.25" customHeight="1" x14ac:dyDescent="0.25">
      <c r="B125" s="158" t="s">
        <v>832</v>
      </c>
      <c r="C125" s="239" t="s">
        <v>21</v>
      </c>
      <c r="D125" s="205" t="s">
        <v>815</v>
      </c>
      <c r="E125" s="146"/>
      <c r="F125" s="151"/>
      <c r="G125"/>
      <c r="H125" s="8"/>
      <c r="I125" s="8"/>
      <c r="J125" s="8"/>
      <c r="K125" s="181" t="s">
        <v>262</v>
      </c>
      <c r="L125" s="178"/>
      <c r="M125" s="239" t="s">
        <v>851</v>
      </c>
      <c r="N125" s="205" t="s">
        <v>815</v>
      </c>
      <c r="O125" s="146"/>
      <c r="P125" s="151"/>
      <c r="Q125"/>
      <c r="R125" s="8"/>
      <c r="S125" s="8"/>
      <c r="T125" s="69" t="s">
        <v>453</v>
      </c>
      <c r="U125" s="83" t="s">
        <v>453</v>
      </c>
      <c r="V125" t="s">
        <v>453</v>
      </c>
      <c r="W125" t="e">
        <f>INDEX('Country Code LU'!$B$2:$B$250,MATCH('Priority Manifest'!#REF!,'Country Code LU'!$A$2:$A$250,0))</f>
        <v>#REF!</v>
      </c>
      <c r="X125" s="6"/>
      <c r="Y125" t="s">
        <v>241</v>
      </c>
      <c r="Z125"/>
      <c r="AA125"/>
      <c r="AB125"/>
      <c r="AC125"/>
      <c r="AD125" t="s">
        <v>246</v>
      </c>
      <c r="AE125"/>
    </row>
    <row r="126" spans="2:33" ht="14.25" customHeight="1" x14ac:dyDescent="0.25">
      <c r="B126" s="158" t="s">
        <v>249</v>
      </c>
      <c r="C126" s="239" t="s">
        <v>851</v>
      </c>
      <c r="D126" s="205" t="s">
        <v>815</v>
      </c>
      <c r="E126" s="146"/>
      <c r="F126" s="151"/>
      <c r="G126"/>
      <c r="H126" s="8"/>
      <c r="I126" s="8"/>
      <c r="J126" s="8"/>
      <c r="K126" s="183" t="s">
        <v>266</v>
      </c>
      <c r="L126" s="174"/>
      <c r="M126" s="239" t="s">
        <v>21</v>
      </c>
      <c r="N126" s="205" t="s">
        <v>815</v>
      </c>
      <c r="O126" s="146"/>
      <c r="P126" s="151"/>
      <c r="Q126"/>
      <c r="R126" s="8"/>
      <c r="S126" s="8"/>
      <c r="T126" s="69" t="s">
        <v>453</v>
      </c>
      <c r="U126" s="83" t="s">
        <v>453</v>
      </c>
      <c r="V126" t="s">
        <v>453</v>
      </c>
      <c r="W126" t="s">
        <v>453</v>
      </c>
      <c r="X126" s="6"/>
      <c r="Y126" t="s">
        <v>245</v>
      </c>
      <c r="Z126"/>
      <c r="AA126"/>
      <c r="AB126"/>
      <c r="AC126"/>
      <c r="AD126" t="s">
        <v>250</v>
      </c>
      <c r="AE126"/>
    </row>
    <row r="127" spans="2:33" ht="14.25" customHeight="1" x14ac:dyDescent="0.25">
      <c r="B127" s="158" t="s">
        <v>253</v>
      </c>
      <c r="C127" s="239" t="s">
        <v>851</v>
      </c>
      <c r="D127" s="205" t="s">
        <v>815</v>
      </c>
      <c r="E127" s="146"/>
      <c r="F127" s="151"/>
      <c r="G127"/>
      <c r="H127" s="8"/>
      <c r="I127" s="8"/>
      <c r="J127" s="8"/>
      <c r="K127" s="181" t="s">
        <v>270</v>
      </c>
      <c r="L127" s="178"/>
      <c r="M127" s="239" t="s">
        <v>851</v>
      </c>
      <c r="N127" s="205" t="s">
        <v>815</v>
      </c>
      <c r="O127" s="146"/>
      <c r="P127" s="151"/>
      <c r="Q127"/>
      <c r="R127" s="8"/>
      <c r="S127" s="8"/>
      <c r="T127" s="69" t="s">
        <v>453</v>
      </c>
      <c r="U127" s="83" t="s">
        <v>453</v>
      </c>
      <c r="V127" t="s">
        <v>453</v>
      </c>
      <c r="W127" t="s">
        <v>453</v>
      </c>
      <c r="X127" s="6"/>
      <c r="Y127" t="s">
        <v>249</v>
      </c>
      <c r="Z127"/>
      <c r="AA127"/>
      <c r="AB127"/>
      <c r="AC127"/>
      <c r="AD127" t="s">
        <v>254</v>
      </c>
      <c r="AE127"/>
    </row>
    <row r="128" spans="2:33" ht="14.25" customHeight="1" x14ac:dyDescent="0.25">
      <c r="B128" s="158" t="s">
        <v>257</v>
      </c>
      <c r="C128" s="239" t="s">
        <v>851</v>
      </c>
      <c r="D128" s="205" t="s">
        <v>815</v>
      </c>
      <c r="E128" s="146"/>
      <c r="F128" s="151"/>
      <c r="G128"/>
      <c r="H128" s="8"/>
      <c r="I128" s="8"/>
      <c r="J128" s="8"/>
      <c r="K128" s="181" t="s">
        <v>836</v>
      </c>
      <c r="L128" s="178"/>
      <c r="M128" s="239" t="s">
        <v>21</v>
      </c>
      <c r="N128" s="205" t="s">
        <v>815</v>
      </c>
      <c r="O128" s="146"/>
      <c r="P128" s="151"/>
      <c r="Q128"/>
      <c r="R128" s="8"/>
      <c r="S128" s="8"/>
      <c r="T128" s="69" t="s">
        <v>453</v>
      </c>
      <c r="U128" s="83" t="s">
        <v>453</v>
      </c>
      <c r="V128" t="s">
        <v>453</v>
      </c>
      <c r="W128" t="s">
        <v>453</v>
      </c>
      <c r="X128" s="6"/>
      <c r="Y128" t="s">
        <v>253</v>
      </c>
      <c r="Z128"/>
      <c r="AA128"/>
      <c r="AB128"/>
      <c r="AC128"/>
      <c r="AD128" t="s">
        <v>258</v>
      </c>
      <c r="AE128"/>
    </row>
    <row r="129" spans="2:31" ht="14.25" customHeight="1" x14ac:dyDescent="0.25">
      <c r="B129" s="158" t="s">
        <v>261</v>
      </c>
      <c r="C129" s="239" t="s">
        <v>851</v>
      </c>
      <c r="D129" s="205" t="s">
        <v>815</v>
      </c>
      <c r="E129" s="146"/>
      <c r="F129" s="151"/>
      <c r="G129"/>
      <c r="H129" s="8"/>
      <c r="I129" s="8"/>
      <c r="J129" s="8"/>
      <c r="K129" s="181" t="s">
        <v>837</v>
      </c>
      <c r="L129" s="178"/>
      <c r="M129" s="239" t="s">
        <v>851</v>
      </c>
      <c r="N129" s="205" t="s">
        <v>815</v>
      </c>
      <c r="O129" s="146"/>
      <c r="P129" s="151"/>
      <c r="Q129"/>
      <c r="R129" s="8"/>
      <c r="S129" s="8"/>
      <c r="T129" s="69" t="s">
        <v>453</v>
      </c>
      <c r="U129" s="83" t="s">
        <v>453</v>
      </c>
      <c r="V129" t="s">
        <v>453</v>
      </c>
      <c r="W129" t="s">
        <v>453</v>
      </c>
      <c r="X129" s="6"/>
      <c r="Y129" t="s">
        <v>257</v>
      </c>
      <c r="Z129"/>
      <c r="AA129"/>
      <c r="AB129"/>
      <c r="AC129"/>
      <c r="AD129" t="s">
        <v>262</v>
      </c>
      <c r="AE129"/>
    </row>
    <row r="130" spans="2:31" ht="14.25" customHeight="1" x14ac:dyDescent="0.25">
      <c r="B130" s="158" t="s">
        <v>265</v>
      </c>
      <c r="C130" s="239" t="s">
        <v>851</v>
      </c>
      <c r="D130" s="204" t="s">
        <v>816</v>
      </c>
      <c r="E130" s="146"/>
      <c r="F130" s="151"/>
      <c r="G130"/>
      <c r="H130" s="8"/>
      <c r="I130" s="8"/>
      <c r="J130" s="8"/>
      <c r="K130" s="181" t="s">
        <v>671</v>
      </c>
      <c r="L130" s="178"/>
      <c r="M130" s="239" t="s">
        <v>851</v>
      </c>
      <c r="N130" s="205" t="s">
        <v>815</v>
      </c>
      <c r="O130" s="146"/>
      <c r="P130" s="151"/>
      <c r="Q130"/>
      <c r="R130" s="8"/>
      <c r="S130" s="8"/>
      <c r="T130" s="69" t="s">
        <v>453</v>
      </c>
      <c r="U130" s="83" t="s">
        <v>453</v>
      </c>
      <c r="V130" t="s">
        <v>453</v>
      </c>
      <c r="W130" t="s">
        <v>453</v>
      </c>
      <c r="X130" s="6"/>
      <c r="Y130" t="s">
        <v>261</v>
      </c>
      <c r="Z130"/>
      <c r="AA130"/>
      <c r="AB130"/>
      <c r="AC130"/>
      <c r="AD130" t="s">
        <v>266</v>
      </c>
      <c r="AE130"/>
    </row>
    <row r="131" spans="2:31" ht="14.25" customHeight="1" x14ac:dyDescent="0.25">
      <c r="B131" s="158" t="s">
        <v>476</v>
      </c>
      <c r="C131" s="239" t="s">
        <v>21</v>
      </c>
      <c r="D131" s="205" t="s">
        <v>815</v>
      </c>
      <c r="E131" s="146"/>
      <c r="F131" s="151"/>
      <c r="G131"/>
      <c r="H131" s="8"/>
      <c r="I131" s="8"/>
      <c r="J131" s="8"/>
      <c r="K131" s="181" t="s">
        <v>282</v>
      </c>
      <c r="L131" s="178"/>
      <c r="M131" s="239" t="s">
        <v>851</v>
      </c>
      <c r="N131" s="205" t="s">
        <v>815</v>
      </c>
      <c r="O131" s="146"/>
      <c r="P131" s="151"/>
      <c r="Q131"/>
      <c r="R131" s="8"/>
      <c r="S131" s="8"/>
      <c r="T131" s="69" t="s">
        <v>453</v>
      </c>
      <c r="U131" s="83" t="s">
        <v>453</v>
      </c>
      <c r="V131" t="s">
        <v>453</v>
      </c>
      <c r="W131" t="s">
        <v>453</v>
      </c>
      <c r="X131" s="6"/>
      <c r="Y131" t="s">
        <v>265</v>
      </c>
      <c r="Z131"/>
      <c r="AA131"/>
      <c r="AB131"/>
      <c r="AC131"/>
      <c r="AD131" t="s">
        <v>270</v>
      </c>
      <c r="AE131"/>
    </row>
    <row r="132" spans="2:31" ht="14.25" customHeight="1" x14ac:dyDescent="0.25">
      <c r="B132" s="158" t="s">
        <v>269</v>
      </c>
      <c r="C132" s="239" t="s">
        <v>851</v>
      </c>
      <c r="D132" s="205" t="s">
        <v>815</v>
      </c>
      <c r="E132" s="146"/>
      <c r="F132" s="151"/>
      <c r="G132"/>
      <c r="H132" s="8"/>
      <c r="I132" s="8"/>
      <c r="J132" s="8"/>
      <c r="K132" s="181" t="s">
        <v>286</v>
      </c>
      <c r="L132" s="178"/>
      <c r="M132" s="239" t="s">
        <v>851</v>
      </c>
      <c r="N132" s="205" t="s">
        <v>815</v>
      </c>
      <c r="O132" s="146"/>
      <c r="P132" s="151"/>
      <c r="Q132"/>
      <c r="R132" s="8"/>
      <c r="S132" s="8"/>
      <c r="T132" s="69" t="s">
        <v>453</v>
      </c>
      <c r="U132" s="83" t="s">
        <v>453</v>
      </c>
      <c r="V132" t="s">
        <v>453</v>
      </c>
      <c r="W132" t="s">
        <v>453</v>
      </c>
      <c r="X132" s="6"/>
      <c r="Y132" t="s">
        <v>476</v>
      </c>
      <c r="Z132"/>
      <c r="AA132"/>
      <c r="AB132"/>
      <c r="AC132"/>
      <c r="AD132" t="s">
        <v>274</v>
      </c>
      <c r="AE132"/>
    </row>
    <row r="133" spans="2:31" ht="14.25" customHeight="1" x14ac:dyDescent="0.25">
      <c r="B133" s="158" t="s">
        <v>273</v>
      </c>
      <c r="C133" s="239" t="s">
        <v>851</v>
      </c>
      <c r="D133" s="205" t="s">
        <v>815</v>
      </c>
      <c r="E133" s="146"/>
      <c r="F133" s="151"/>
      <c r="G133"/>
      <c r="H133" s="8"/>
      <c r="I133" s="8"/>
      <c r="J133" s="8"/>
      <c r="K133" s="181" t="s">
        <v>290</v>
      </c>
      <c r="L133" s="178"/>
      <c r="M133" s="239" t="s">
        <v>21</v>
      </c>
      <c r="N133" s="205" t="s">
        <v>815</v>
      </c>
      <c r="O133" s="146"/>
      <c r="P133" s="151"/>
      <c r="Q133"/>
      <c r="R133" s="8"/>
      <c r="S133" s="8"/>
      <c r="T133" s="69" t="s">
        <v>453</v>
      </c>
      <c r="U133" s="83" t="s">
        <v>453</v>
      </c>
      <c r="V133" t="s">
        <v>453</v>
      </c>
      <c r="W133" t="s">
        <v>453</v>
      </c>
      <c r="X133" s="6"/>
      <c r="Y133" t="s">
        <v>269</v>
      </c>
      <c r="Z133"/>
      <c r="AA133"/>
      <c r="AB133"/>
      <c r="AC133"/>
      <c r="AD133" t="s">
        <v>278</v>
      </c>
      <c r="AE133"/>
    </row>
    <row r="134" spans="2:31" ht="14.25" customHeight="1" x14ac:dyDescent="0.25">
      <c r="B134" s="158" t="s">
        <v>277</v>
      </c>
      <c r="C134" s="239" t="s">
        <v>21</v>
      </c>
      <c r="D134" s="205" t="s">
        <v>815</v>
      </c>
      <c r="E134" s="146"/>
      <c r="F134" s="151"/>
      <c r="G134"/>
      <c r="H134" s="8"/>
      <c r="I134" s="8"/>
      <c r="J134" s="8"/>
      <c r="K134" s="181" t="s">
        <v>294</v>
      </c>
      <c r="L134" s="178"/>
      <c r="M134" s="239" t="s">
        <v>851</v>
      </c>
      <c r="N134" s="204" t="s">
        <v>816</v>
      </c>
      <c r="O134" s="146"/>
      <c r="P134" s="151"/>
      <c r="Q134"/>
      <c r="R134" s="8"/>
      <c r="S134" s="8"/>
      <c r="T134" s="69" t="s">
        <v>453</v>
      </c>
      <c r="U134" s="83" t="s">
        <v>453</v>
      </c>
      <c r="V134" t="s">
        <v>453</v>
      </c>
      <c r="W134" t="s">
        <v>453</v>
      </c>
      <c r="X134" s="6"/>
      <c r="Y134" t="s">
        <v>273</v>
      </c>
      <c r="Z134"/>
      <c r="AA134"/>
      <c r="AB134"/>
      <c r="AC134"/>
      <c r="AD134" t="s">
        <v>282</v>
      </c>
      <c r="AE134"/>
    </row>
    <row r="135" spans="2:31" ht="14.25" customHeight="1" x14ac:dyDescent="0.25">
      <c r="B135" s="158" t="s">
        <v>281</v>
      </c>
      <c r="C135" s="239" t="s">
        <v>851</v>
      </c>
      <c r="D135" s="205" t="s">
        <v>815</v>
      </c>
      <c r="E135" s="146"/>
      <c r="F135" s="151"/>
      <c r="G135"/>
      <c r="H135" s="8"/>
      <c r="I135" s="8"/>
      <c r="J135" s="8"/>
      <c r="K135" s="182" t="s">
        <v>298</v>
      </c>
      <c r="L135" s="176"/>
      <c r="M135" s="239" t="s">
        <v>851</v>
      </c>
      <c r="N135" s="205" t="s">
        <v>815</v>
      </c>
      <c r="O135" s="146"/>
      <c r="P135" s="151"/>
      <c r="Q135"/>
      <c r="R135" s="8"/>
      <c r="S135" s="8"/>
      <c r="T135" s="69" t="s">
        <v>453</v>
      </c>
      <c r="U135" s="83" t="s">
        <v>453</v>
      </c>
      <c r="V135" t="s">
        <v>453</v>
      </c>
      <c r="W135" t="s">
        <v>453</v>
      </c>
      <c r="X135" s="6"/>
      <c r="Y135" t="s">
        <v>277</v>
      </c>
      <c r="Z135"/>
      <c r="AA135"/>
      <c r="AB135"/>
      <c r="AC135"/>
      <c r="AD135" t="s">
        <v>286</v>
      </c>
      <c r="AE135"/>
    </row>
    <row r="136" spans="2:31" ht="14.25" customHeight="1" x14ac:dyDescent="0.25">
      <c r="B136" s="158" t="s">
        <v>285</v>
      </c>
      <c r="C136" s="239" t="s">
        <v>851</v>
      </c>
      <c r="D136" s="205" t="s">
        <v>815</v>
      </c>
      <c r="E136" s="146"/>
      <c r="F136" s="151"/>
      <c r="G136"/>
      <c r="H136" s="8"/>
      <c r="I136" s="8"/>
      <c r="J136" s="8"/>
      <c r="K136" s="181" t="s">
        <v>306</v>
      </c>
      <c r="L136" s="178"/>
      <c r="M136" s="239" t="s">
        <v>851</v>
      </c>
      <c r="N136" s="205" t="s">
        <v>815</v>
      </c>
      <c r="O136" s="146"/>
      <c r="P136" s="151"/>
      <c r="Q136"/>
      <c r="R136" s="8"/>
      <c r="S136" s="8"/>
      <c r="T136" s="69" t="s">
        <v>453</v>
      </c>
      <c r="U136" s="83" t="s">
        <v>453</v>
      </c>
      <c r="V136" t="s">
        <v>453</v>
      </c>
      <c r="W136" t="s">
        <v>453</v>
      </c>
      <c r="X136" s="6"/>
      <c r="Y136" t="s">
        <v>281</v>
      </c>
      <c r="Z136"/>
      <c r="AA136"/>
      <c r="AB136"/>
      <c r="AC136"/>
      <c r="AD136" t="s">
        <v>290</v>
      </c>
      <c r="AE136"/>
    </row>
    <row r="137" spans="2:31" ht="14.25" customHeight="1" x14ac:dyDescent="0.25">
      <c r="B137" s="158" t="s">
        <v>289</v>
      </c>
      <c r="C137" s="239" t="s">
        <v>851</v>
      </c>
      <c r="D137" s="205" t="s">
        <v>815</v>
      </c>
      <c r="E137" s="146"/>
      <c r="F137" s="151"/>
      <c r="G137"/>
      <c r="H137" s="8"/>
      <c r="I137" s="8"/>
      <c r="J137" s="8"/>
      <c r="K137" s="181" t="s">
        <v>314</v>
      </c>
      <c r="L137" s="178"/>
      <c r="M137" s="239" t="s">
        <v>851</v>
      </c>
      <c r="N137" s="205" t="s">
        <v>815</v>
      </c>
      <c r="O137" s="146"/>
      <c r="P137" s="151"/>
      <c r="Q137"/>
      <c r="R137" s="8"/>
      <c r="S137" s="8"/>
      <c r="T137" s="69" t="s">
        <v>453</v>
      </c>
      <c r="U137" s="83" t="s">
        <v>453</v>
      </c>
      <c r="V137" t="s">
        <v>453</v>
      </c>
      <c r="W137" t="s">
        <v>453</v>
      </c>
      <c r="X137" s="6"/>
      <c r="Y137" t="s">
        <v>285</v>
      </c>
      <c r="Z137"/>
      <c r="AA137"/>
      <c r="AB137"/>
      <c r="AC137"/>
      <c r="AD137" t="s">
        <v>294</v>
      </c>
      <c r="AE137"/>
    </row>
    <row r="138" spans="2:31" ht="14.25" customHeight="1" x14ac:dyDescent="0.25">
      <c r="B138" s="158" t="s">
        <v>293</v>
      </c>
      <c r="C138" s="239" t="s">
        <v>851</v>
      </c>
      <c r="D138" s="205" t="s">
        <v>815</v>
      </c>
      <c r="E138" s="146"/>
      <c r="F138" s="151"/>
      <c r="G138"/>
      <c r="H138" s="8"/>
      <c r="I138" s="8"/>
      <c r="J138" s="8"/>
      <c r="K138" s="181" t="s">
        <v>317</v>
      </c>
      <c r="L138" s="178"/>
      <c r="M138" s="239" t="s">
        <v>851</v>
      </c>
      <c r="N138" s="205" t="s">
        <v>815</v>
      </c>
      <c r="O138" s="146"/>
      <c r="P138" s="151"/>
      <c r="Q138"/>
      <c r="R138" s="8"/>
      <c r="S138" s="8"/>
      <c r="T138" s="69" t="s">
        <v>453</v>
      </c>
      <c r="U138" s="83" t="s">
        <v>453</v>
      </c>
      <c r="V138" t="s">
        <v>453</v>
      </c>
      <c r="W138" t="s">
        <v>453</v>
      </c>
      <c r="X138" s="6"/>
      <c r="Y138" t="s">
        <v>289</v>
      </c>
      <c r="Z138"/>
      <c r="AA138"/>
      <c r="AB138"/>
      <c r="AC138"/>
      <c r="AD138" t="s">
        <v>298</v>
      </c>
      <c r="AE138"/>
    </row>
    <row r="139" spans="2:31" ht="14.25" customHeight="1" x14ac:dyDescent="0.25">
      <c r="B139" s="158" t="s">
        <v>297</v>
      </c>
      <c r="C139" s="239" t="s">
        <v>851</v>
      </c>
      <c r="D139" s="205" t="s">
        <v>815</v>
      </c>
      <c r="E139" s="146"/>
      <c r="F139" s="151"/>
      <c r="G139"/>
      <c r="H139" s="8"/>
      <c r="I139" s="8"/>
      <c r="J139" s="8"/>
      <c r="K139" s="181" t="s">
        <v>323</v>
      </c>
      <c r="L139" s="178"/>
      <c r="M139" s="239" t="s">
        <v>851</v>
      </c>
      <c r="N139" s="205" t="s">
        <v>815</v>
      </c>
      <c r="O139" s="146"/>
      <c r="P139" s="151"/>
      <c r="Q139"/>
      <c r="R139" s="8"/>
      <c r="S139" s="8"/>
      <c r="T139" s="69" t="s">
        <v>453</v>
      </c>
      <c r="U139" s="83" t="s">
        <v>453</v>
      </c>
      <c r="V139" t="s">
        <v>453</v>
      </c>
      <c r="W139" t="s">
        <v>453</v>
      </c>
      <c r="X139" s="6"/>
      <c r="Y139" t="s">
        <v>293</v>
      </c>
      <c r="Z139"/>
      <c r="AA139"/>
      <c r="AB139"/>
      <c r="AC139"/>
      <c r="AD139" t="s">
        <v>302</v>
      </c>
      <c r="AE139"/>
    </row>
    <row r="140" spans="2:31" ht="14.25" customHeight="1" x14ac:dyDescent="0.25">
      <c r="B140" s="158" t="s">
        <v>833</v>
      </c>
      <c r="C140" s="239" t="s">
        <v>21</v>
      </c>
      <c r="D140" s="205" t="s">
        <v>815</v>
      </c>
      <c r="E140" s="146"/>
      <c r="F140" s="151"/>
      <c r="G140"/>
      <c r="H140" s="8"/>
      <c r="I140" s="8"/>
      <c r="J140" s="8"/>
      <c r="K140" s="181" t="s">
        <v>327</v>
      </c>
      <c r="L140" s="178"/>
      <c r="M140" s="239" t="s">
        <v>851</v>
      </c>
      <c r="N140" s="205" t="s">
        <v>815</v>
      </c>
      <c r="O140" s="146"/>
      <c r="P140" s="151"/>
      <c r="Q140"/>
      <c r="R140" s="8"/>
      <c r="S140" s="8"/>
      <c r="T140" s="69" t="s">
        <v>453</v>
      </c>
      <c r="U140" s="83" t="s">
        <v>453</v>
      </c>
      <c r="V140" t="s">
        <v>453</v>
      </c>
      <c r="W140" t="s">
        <v>453</v>
      </c>
      <c r="X140" s="6"/>
      <c r="Y140" t="s">
        <v>297</v>
      </c>
      <c r="Z140"/>
      <c r="AA140"/>
      <c r="AB140"/>
      <c r="AC140"/>
      <c r="AD140" t="s">
        <v>306</v>
      </c>
      <c r="AE140"/>
    </row>
    <row r="141" spans="2:31" ht="14.25" customHeight="1" x14ac:dyDescent="0.25">
      <c r="B141" s="158" t="s">
        <v>305</v>
      </c>
      <c r="C141" s="239" t="s">
        <v>851</v>
      </c>
      <c r="D141" s="205" t="s">
        <v>815</v>
      </c>
      <c r="E141" s="146"/>
      <c r="F141" s="151"/>
      <c r="G141"/>
      <c r="H141" s="8"/>
      <c r="I141" s="8"/>
      <c r="J141" s="8"/>
      <c r="K141" s="181" t="s">
        <v>331</v>
      </c>
      <c r="L141" s="178"/>
      <c r="M141" s="239" t="s">
        <v>851</v>
      </c>
      <c r="N141" s="204" t="s">
        <v>816</v>
      </c>
      <c r="O141" s="146"/>
      <c r="P141" s="151"/>
      <c r="Q141"/>
      <c r="R141" s="8"/>
      <c r="S141" s="8"/>
      <c r="T141" s="69" t="s">
        <v>453</v>
      </c>
      <c r="U141" s="83" t="s">
        <v>453</v>
      </c>
      <c r="V141" t="s">
        <v>453</v>
      </c>
      <c r="W141" t="s">
        <v>453</v>
      </c>
      <c r="X141" s="6"/>
      <c r="Y141" t="s">
        <v>301</v>
      </c>
      <c r="Z141"/>
      <c r="AA141"/>
      <c r="AB141"/>
      <c r="AC141"/>
      <c r="AD141" t="s">
        <v>310</v>
      </c>
      <c r="AE141"/>
    </row>
    <row r="142" spans="2:31" ht="14.25" customHeight="1" x14ac:dyDescent="0.25">
      <c r="B142" s="158" t="s">
        <v>88</v>
      </c>
      <c r="C142" s="239" t="s">
        <v>21</v>
      </c>
      <c r="D142" s="204" t="s">
        <v>816</v>
      </c>
      <c r="E142" s="146"/>
      <c r="F142" s="151"/>
      <c r="G142"/>
      <c r="H142" s="8"/>
      <c r="I142" s="8"/>
      <c r="J142" s="8"/>
      <c r="K142" s="181" t="s">
        <v>335</v>
      </c>
      <c r="L142" s="178"/>
      <c r="M142" s="239" t="s">
        <v>21</v>
      </c>
      <c r="N142" s="205" t="s">
        <v>815</v>
      </c>
      <c r="O142" s="146"/>
      <c r="P142" s="151"/>
      <c r="Q142"/>
      <c r="R142" s="8"/>
      <c r="S142" s="8"/>
      <c r="T142" s="69" t="s">
        <v>453</v>
      </c>
      <c r="U142" s="83" t="s">
        <v>453</v>
      </c>
      <c r="V142" t="s">
        <v>453</v>
      </c>
      <c r="W142" t="s">
        <v>453</v>
      </c>
      <c r="X142" s="6"/>
      <c r="Y142" t="s">
        <v>305</v>
      </c>
      <c r="Z142"/>
      <c r="AA142"/>
      <c r="AB142"/>
      <c r="AC142"/>
      <c r="AD142" t="s">
        <v>314</v>
      </c>
      <c r="AE142"/>
    </row>
    <row r="143" spans="2:31" ht="14.25" customHeight="1" x14ac:dyDescent="0.25">
      <c r="B143" s="158" t="s">
        <v>309</v>
      </c>
      <c r="C143" s="239" t="s">
        <v>851</v>
      </c>
      <c r="D143" s="205" t="s">
        <v>815</v>
      </c>
      <c r="E143" s="146"/>
      <c r="F143" s="151"/>
      <c r="G143"/>
      <c r="H143" s="8"/>
      <c r="I143" s="8"/>
      <c r="J143" s="8"/>
      <c r="K143" s="182" t="s">
        <v>338</v>
      </c>
      <c r="L143" s="176"/>
      <c r="M143" s="239" t="s">
        <v>21</v>
      </c>
      <c r="N143" s="205" t="s">
        <v>815</v>
      </c>
      <c r="O143" s="146"/>
      <c r="P143" s="151"/>
      <c r="Q143"/>
      <c r="R143" s="8"/>
      <c r="S143" s="8"/>
      <c r="T143" s="69" t="s">
        <v>453</v>
      </c>
      <c r="U143" s="83" t="s">
        <v>453</v>
      </c>
      <c r="V143" t="str">
        <f>INDEX('Country Code LU'!$B$2:$B$250,MATCH('Priority Manifest'!$B143,'Country Code LU'!$A$2:$A$250,0))</f>
        <v>IN</v>
      </c>
      <c r="W143" t="s">
        <v>453</v>
      </c>
      <c r="X143" s="6"/>
      <c r="Y143" t="s">
        <v>309</v>
      </c>
      <c r="Z143"/>
      <c r="AA143"/>
      <c r="AB143"/>
      <c r="AC143"/>
      <c r="AD143" t="s">
        <v>317</v>
      </c>
      <c r="AE143"/>
    </row>
    <row r="144" spans="2:31" ht="14.25" customHeight="1" x14ac:dyDescent="0.25">
      <c r="B144" s="158" t="s">
        <v>313</v>
      </c>
      <c r="C144" s="239" t="s">
        <v>851</v>
      </c>
      <c r="D144" s="206" t="s">
        <v>816</v>
      </c>
      <c r="E144" s="146"/>
      <c r="F144" s="151"/>
      <c r="G144"/>
      <c r="H144" s="8"/>
      <c r="I144" s="8"/>
      <c r="J144" s="8"/>
      <c r="K144" s="182" t="s">
        <v>835</v>
      </c>
      <c r="L144" s="176"/>
      <c r="M144" s="239" t="s">
        <v>851</v>
      </c>
      <c r="N144" s="205" t="s">
        <v>815</v>
      </c>
      <c r="O144" s="146"/>
      <c r="P144" s="151"/>
      <c r="Q144"/>
      <c r="R144" s="8"/>
      <c r="S144" s="8"/>
      <c r="T144" s="69" t="s">
        <v>453</v>
      </c>
      <c r="U144" s="83" t="s">
        <v>453</v>
      </c>
      <c r="V144" t="str">
        <f>INDEX('Country Code LU'!$B$2:$B$250,MATCH('Priority Manifest'!$B144,'Country Code LU'!$A$2:$A$250,0))</f>
        <v>ID</v>
      </c>
      <c r="W144" t="s">
        <v>453</v>
      </c>
      <c r="X144" s="6"/>
      <c r="Y144" t="s">
        <v>313</v>
      </c>
      <c r="Z144"/>
      <c r="AA144"/>
      <c r="AB144"/>
      <c r="AC144"/>
      <c r="AD144" t="s">
        <v>319</v>
      </c>
      <c r="AE144"/>
    </row>
    <row r="145" spans="2:31" ht="14.25" customHeight="1" x14ac:dyDescent="0.25">
      <c r="B145" s="158" t="s">
        <v>318</v>
      </c>
      <c r="C145" s="239" t="s">
        <v>21</v>
      </c>
      <c r="D145" s="205" t="s">
        <v>815</v>
      </c>
      <c r="E145" s="146"/>
      <c r="F145" s="151"/>
      <c r="G145"/>
      <c r="H145" s="8"/>
      <c r="I145" s="8"/>
      <c r="J145" s="8"/>
      <c r="K145" s="181" t="s">
        <v>838</v>
      </c>
      <c r="L145" s="178"/>
      <c r="M145" s="239" t="s">
        <v>21</v>
      </c>
      <c r="N145" s="205" t="s">
        <v>815</v>
      </c>
      <c r="O145" s="146"/>
      <c r="P145" s="151"/>
      <c r="Q145"/>
      <c r="R145" s="8"/>
      <c r="S145" s="8"/>
      <c r="T145" s="69" t="s">
        <v>453</v>
      </c>
      <c r="U145" s="83" t="s">
        <v>453</v>
      </c>
      <c r="V145" t="s">
        <v>453</v>
      </c>
      <c r="W145" t="s">
        <v>453</v>
      </c>
      <c r="X145" s="6"/>
      <c r="Y145" t="s">
        <v>318</v>
      </c>
      <c r="Z145"/>
      <c r="AA145"/>
      <c r="AB145"/>
      <c r="AC145"/>
      <c r="AD145" t="s">
        <v>323</v>
      </c>
      <c r="AE145"/>
    </row>
    <row r="146" spans="2:31" ht="14.25" customHeight="1" thickBot="1" x14ac:dyDescent="0.3">
      <c r="B146" s="158" t="s">
        <v>322</v>
      </c>
      <c r="C146" s="239" t="s">
        <v>851</v>
      </c>
      <c r="D146" s="205" t="s">
        <v>815</v>
      </c>
      <c r="E146" s="146"/>
      <c r="F146" s="151"/>
      <c r="G146"/>
      <c r="H146" s="8"/>
      <c r="I146" s="8"/>
      <c r="J146" s="8"/>
      <c r="K146" s="184" t="s">
        <v>344</v>
      </c>
      <c r="L146" s="185"/>
      <c r="M146" s="239" t="s">
        <v>851</v>
      </c>
      <c r="N146" s="205" t="s">
        <v>815</v>
      </c>
      <c r="O146" s="153"/>
      <c r="P146" s="154"/>
      <c r="Q146"/>
      <c r="R146" s="8"/>
      <c r="S146" s="8"/>
      <c r="T146" s="69" t="s">
        <v>453</v>
      </c>
      <c r="U146" s="83" t="s">
        <v>453</v>
      </c>
      <c r="V146" t="s">
        <v>453</v>
      </c>
      <c r="W146" t="s">
        <v>453</v>
      </c>
      <c r="X146" s="6"/>
      <c r="Y146" t="s">
        <v>322</v>
      </c>
      <c r="Z146"/>
      <c r="AA146"/>
      <c r="AB146"/>
      <c r="AC146"/>
      <c r="AD146" t="s">
        <v>327</v>
      </c>
      <c r="AE146"/>
    </row>
    <row r="147" spans="2:31" ht="14.25" customHeight="1" x14ac:dyDescent="0.25">
      <c r="B147" s="158" t="s">
        <v>326</v>
      </c>
      <c r="C147" s="239" t="s">
        <v>851</v>
      </c>
      <c r="D147" s="205" t="s">
        <v>815</v>
      </c>
      <c r="E147" s="146"/>
      <c r="F147" s="151"/>
      <c r="G147"/>
      <c r="H147" s="8"/>
      <c r="I147" s="8"/>
      <c r="J147" s="8"/>
      <c r="Q147"/>
      <c r="R147" s="8"/>
      <c r="S147" s="8"/>
      <c r="T147" s="69" t="s">
        <v>453</v>
      </c>
      <c r="U147" s="83" t="s">
        <v>453</v>
      </c>
      <c r="V147" t="s">
        <v>453</v>
      </c>
      <c r="W147" t="str">
        <f>INDEX('Country Code LU'!$B$2:$B$250,MATCH('Priority Manifest'!$K141,'Country Code LU'!$A$2:$A$250,0))</f>
        <v>NG</v>
      </c>
      <c r="X147" s="6"/>
      <c r="Y147" t="s">
        <v>326</v>
      </c>
      <c r="Z147"/>
      <c r="AA147"/>
      <c r="AB147"/>
      <c r="AC147"/>
      <c r="AD147" t="s">
        <v>331</v>
      </c>
      <c r="AE147"/>
    </row>
    <row r="148" spans="2:31" ht="14.25" customHeight="1" x14ac:dyDescent="0.25">
      <c r="B148" s="158" t="s">
        <v>330</v>
      </c>
      <c r="C148" s="239" t="s">
        <v>851</v>
      </c>
      <c r="D148" s="205" t="s">
        <v>815</v>
      </c>
      <c r="E148" s="146"/>
      <c r="F148" s="151"/>
      <c r="G148"/>
      <c r="H148" s="8"/>
      <c r="I148" s="8"/>
      <c r="J148" s="8"/>
      <c r="Q148"/>
      <c r="R148" s="8"/>
      <c r="S148" s="8"/>
      <c r="T148" s="69" t="s">
        <v>453</v>
      </c>
      <c r="U148" s="83" t="s">
        <v>453</v>
      </c>
      <c r="V148" t="s">
        <v>453</v>
      </c>
      <c r="W148" t="s">
        <v>453</v>
      </c>
      <c r="X148" s="6"/>
      <c r="Y148" t="s">
        <v>330</v>
      </c>
      <c r="Z148"/>
      <c r="AA148"/>
      <c r="AB148"/>
      <c r="AC148"/>
      <c r="AD148" t="s">
        <v>335</v>
      </c>
      <c r="AE148"/>
    </row>
    <row r="149" spans="2:31" ht="14.25" customHeight="1" x14ac:dyDescent="0.25">
      <c r="B149" s="158" t="s">
        <v>477</v>
      </c>
      <c r="C149" s="239" t="s">
        <v>851</v>
      </c>
      <c r="D149" s="205" t="s">
        <v>815</v>
      </c>
      <c r="E149" s="146"/>
      <c r="F149" s="151"/>
      <c r="G149"/>
      <c r="H149" s="8"/>
      <c r="I149" s="8"/>
      <c r="J149" s="8"/>
      <c r="Q149"/>
      <c r="R149" s="8"/>
      <c r="S149" s="8"/>
      <c r="T149" s="69" t="s">
        <v>453</v>
      </c>
      <c r="U149" s="83" t="s">
        <v>453</v>
      </c>
      <c r="V149" t="s">
        <v>453</v>
      </c>
      <c r="W149" t="s">
        <v>453</v>
      </c>
      <c r="X149" s="6"/>
      <c r="Y149" t="s">
        <v>477</v>
      </c>
      <c r="Z149"/>
      <c r="AA149"/>
      <c r="AB149"/>
      <c r="AC149"/>
      <c r="AD149" t="s">
        <v>338</v>
      </c>
      <c r="AE149"/>
    </row>
    <row r="150" spans="2:31" ht="14.25" customHeight="1" x14ac:dyDescent="0.25">
      <c r="B150" s="158" t="s">
        <v>334</v>
      </c>
      <c r="C150" s="239" t="s">
        <v>851</v>
      </c>
      <c r="D150" s="205" t="s">
        <v>815</v>
      </c>
      <c r="E150" s="146"/>
      <c r="F150" s="151"/>
      <c r="G150"/>
      <c r="H150" s="8"/>
      <c r="I150" s="8"/>
      <c r="J150" s="8"/>
      <c r="Q150"/>
      <c r="R150" s="8"/>
      <c r="S150" s="8"/>
      <c r="T150" s="69" t="s">
        <v>453</v>
      </c>
      <c r="U150" s="83" t="s">
        <v>453</v>
      </c>
      <c r="V150" t="s">
        <v>453</v>
      </c>
      <c r="W150" t="s">
        <v>453</v>
      </c>
      <c r="X150" s="6"/>
      <c r="Y150" t="s">
        <v>334</v>
      </c>
      <c r="Z150"/>
      <c r="AA150"/>
      <c r="AB150"/>
      <c r="AC150"/>
      <c r="AD150" t="s">
        <v>340</v>
      </c>
      <c r="AE150"/>
    </row>
    <row r="151" spans="2:31" ht="14.25" customHeight="1" x14ac:dyDescent="0.25">
      <c r="B151" s="237" t="s">
        <v>850</v>
      </c>
      <c r="C151" s="239" t="s">
        <v>851</v>
      </c>
      <c r="D151" s="205" t="s">
        <v>815</v>
      </c>
      <c r="E151" s="235"/>
      <c r="F151" s="236"/>
      <c r="G151"/>
      <c r="H151" s="8"/>
      <c r="I151" s="8"/>
      <c r="J151" s="8"/>
      <c r="Q151"/>
      <c r="R151" s="8"/>
      <c r="S151" s="8"/>
      <c r="T151" s="73" t="s">
        <v>453</v>
      </c>
      <c r="U151" s="84" t="s">
        <v>453</v>
      </c>
      <c r="V151" t="s">
        <v>453</v>
      </c>
      <c r="W151" t="s">
        <v>453</v>
      </c>
      <c r="X151" s="6"/>
      <c r="Y151" t="s">
        <v>191</v>
      </c>
      <c r="Z151"/>
      <c r="AA151"/>
      <c r="AB151"/>
      <c r="AC151"/>
      <c r="AD151" t="s">
        <v>344</v>
      </c>
      <c r="AE151"/>
    </row>
    <row r="152" spans="2:31" ht="14.25" customHeight="1" thickBot="1" x14ac:dyDescent="0.3">
      <c r="B152" s="159" t="s">
        <v>191</v>
      </c>
      <c r="C152" s="239" t="s">
        <v>851</v>
      </c>
      <c r="D152" s="205" t="s">
        <v>815</v>
      </c>
      <c r="E152" s="153"/>
      <c r="F152" s="154"/>
      <c r="G152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96"/>
      <c r="U152" s="96"/>
      <c r="V152"/>
      <c r="W152"/>
      <c r="X152" s="6"/>
      <c r="Y152"/>
      <c r="Z152"/>
      <c r="AA152"/>
      <c r="AB152"/>
      <c r="AC152"/>
      <c r="AE152"/>
    </row>
    <row r="153" spans="2:31" ht="15" x14ac:dyDescent="0.25">
      <c r="G153" s="8"/>
      <c r="H153" s="8"/>
      <c r="I153" s="8"/>
      <c r="J153" s="8"/>
      <c r="K153" s="8"/>
      <c r="L153" s="8"/>
      <c r="M153"/>
      <c r="N153"/>
      <c r="O153"/>
      <c r="P153"/>
      <c r="Q153"/>
      <c r="R153" s="8"/>
      <c r="S153" s="8"/>
      <c r="T153" s="8"/>
      <c r="U153" s="8"/>
      <c r="V153"/>
      <c r="W153"/>
      <c r="X153" s="6"/>
      <c r="Y153"/>
      <c r="Z153"/>
      <c r="AA153"/>
      <c r="AB153"/>
      <c r="AC153"/>
      <c r="AD153"/>
      <c r="AE153"/>
    </row>
    <row r="154" spans="2:31" ht="14.25" customHeight="1" x14ac:dyDescent="0.25">
      <c r="B154"/>
      <c r="C154"/>
      <c r="D154"/>
      <c r="E154"/>
      <c r="F154"/>
      <c r="G154" s="8"/>
      <c r="H154" s="8"/>
      <c r="I154" s="8"/>
      <c r="J154" s="8"/>
      <c r="K154" s="9"/>
      <c r="L154" s="9"/>
      <c r="M154"/>
      <c r="N154"/>
      <c r="O154"/>
      <c r="P154"/>
      <c r="Q154"/>
      <c r="R154" s="8"/>
      <c r="S154" s="8"/>
      <c r="T154" s="8"/>
      <c r="U154" s="8"/>
      <c r="V154"/>
      <c r="W154"/>
      <c r="X154" s="6"/>
      <c r="Y154"/>
      <c r="Z154"/>
      <c r="AA154"/>
      <c r="AB154"/>
      <c r="AC154"/>
      <c r="AD154"/>
      <c r="AE154"/>
    </row>
    <row r="155" spans="2:31" ht="27" customHeight="1" x14ac:dyDescent="0.25">
      <c r="B155" s="109" t="s">
        <v>819</v>
      </c>
      <c r="C155" s="10"/>
      <c r="D155" s="10"/>
      <c r="E155" s="10"/>
      <c r="F155" s="9"/>
      <c r="G155" s="8"/>
      <c r="H155" s="8"/>
      <c r="I155" s="8"/>
      <c r="J155" s="8"/>
      <c r="K155" s="8"/>
      <c r="L155" s="8"/>
      <c r="M155"/>
      <c r="N155"/>
      <c r="O155"/>
      <c r="P155"/>
      <c r="Q155"/>
      <c r="R155" s="8"/>
      <c r="S155" s="8"/>
      <c r="T155" s="8"/>
      <c r="U155" s="8"/>
      <c r="V155"/>
      <c r="W155"/>
      <c r="X155" s="6"/>
      <c r="Y155"/>
      <c r="Z155"/>
      <c r="AA155"/>
      <c r="AB155"/>
      <c r="AC155"/>
      <c r="AD155"/>
      <c r="AE155"/>
    </row>
    <row r="156" spans="2:31" ht="25.5" x14ac:dyDescent="0.25">
      <c r="B156" s="12" t="str">
        <f>B4</f>
        <v>Valid from 1st January 2025</v>
      </c>
      <c r="C156" s="13"/>
      <c r="D156" s="13"/>
      <c r="E156" s="13"/>
      <c r="F156" s="8"/>
      <c r="G156" s="9"/>
      <c r="H156" s="11"/>
      <c r="I156" s="11"/>
      <c r="J156" s="11"/>
      <c r="K156" s="8"/>
      <c r="L156" s="8"/>
      <c r="M156"/>
      <c r="N156"/>
      <c r="O156"/>
      <c r="P156"/>
      <c r="Q156"/>
      <c r="R156" s="8"/>
      <c r="S156" s="8"/>
      <c r="T156" s="8"/>
      <c r="U156" s="8"/>
      <c r="V156"/>
      <c r="W156"/>
      <c r="X156" s="6"/>
      <c r="Y156"/>
      <c r="Z156"/>
      <c r="AA156"/>
      <c r="AB156"/>
      <c r="AC156"/>
      <c r="AD156"/>
      <c r="AE156"/>
    </row>
    <row r="157" spans="2:31" ht="14.25" customHeight="1" thickBot="1" x14ac:dyDescent="0.3">
      <c r="B157" s="14"/>
      <c r="C157" s="13"/>
      <c r="D157" s="13"/>
      <c r="E157" s="13"/>
      <c r="F157" s="8"/>
      <c r="G157" s="8"/>
      <c r="H157" s="8"/>
      <c r="I157" s="8"/>
      <c r="J157" s="8"/>
      <c r="K157" s="8"/>
      <c r="L157" s="8"/>
      <c r="M157" s="8"/>
      <c r="N157"/>
      <c r="O157"/>
      <c r="P157"/>
      <c r="Q157"/>
      <c r="R157" s="8"/>
      <c r="S157" s="8"/>
      <c r="T157" s="8"/>
      <c r="U157" s="8"/>
      <c r="V157"/>
      <c r="W157"/>
      <c r="X157" s="6"/>
      <c r="Y157"/>
      <c r="Z157"/>
      <c r="AA157"/>
      <c r="AB157"/>
      <c r="AC157"/>
      <c r="AD157"/>
      <c r="AE157"/>
    </row>
    <row r="158" spans="2:31" ht="14.25" customHeight="1" thickBot="1" x14ac:dyDescent="0.3">
      <c r="B158" s="311" t="s">
        <v>0</v>
      </c>
      <c r="C158" s="312"/>
      <c r="D158" s="306" t="str">
        <f>IF($D$6=0,"",$D$6)</f>
        <v>Citipost Limited</v>
      </c>
      <c r="E158" s="306"/>
      <c r="F158" s="306"/>
      <c r="G158" s="312" t="s">
        <v>3</v>
      </c>
      <c r="H158" s="312"/>
      <c r="I158" s="172" t="str">
        <f>IF($D$7=0,"",$D$7)</f>
        <v/>
      </c>
      <c r="J158" s="172"/>
      <c r="K158" s="172"/>
      <c r="L158" s="312" t="s">
        <v>2</v>
      </c>
      <c r="M158" s="312"/>
      <c r="N158" s="144" t="str">
        <f>IF($N$6=0,"",$N$6)</f>
        <v/>
      </c>
      <c r="O158" s="143"/>
      <c r="P158" s="143"/>
      <c r="Q158" s="145"/>
      <c r="R158" s="8"/>
      <c r="S158" s="8"/>
      <c r="T158" s="8"/>
      <c r="U158" s="8"/>
      <c r="V158"/>
      <c r="W158"/>
      <c r="X158" s="6"/>
      <c r="Y158"/>
      <c r="Z158"/>
      <c r="AA158"/>
      <c r="AB158"/>
      <c r="AC158"/>
      <c r="AD158"/>
      <c r="AE158"/>
    </row>
    <row r="159" spans="2:31" ht="14.25" customHeight="1" x14ac:dyDescent="0.25"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6"/>
      <c r="M159" s="87"/>
      <c r="N159" s="87"/>
      <c r="O159" s="87"/>
      <c r="P159" s="86"/>
      <c r="Q159" s="86"/>
      <c r="R159" s="8"/>
      <c r="S159" s="8"/>
      <c r="T159" s="8"/>
      <c r="U159" s="8"/>
      <c r="V159"/>
      <c r="W159"/>
      <c r="X159" s="6"/>
      <c r="Y159"/>
      <c r="Z159"/>
      <c r="AA159"/>
      <c r="AB159"/>
      <c r="AC159"/>
      <c r="AD159"/>
      <c r="AE159"/>
    </row>
    <row r="160" spans="2:31" ht="14.25" customHeight="1" thickBot="1" x14ac:dyDescent="0.3">
      <c r="B160" s="58"/>
      <c r="C160" s="58"/>
      <c r="D160" s="58"/>
      <c r="E160" s="58"/>
      <c r="F160" s="58"/>
      <c r="G160" s="88">
        <v>1</v>
      </c>
      <c r="H160" s="58"/>
      <c r="I160" s="58"/>
      <c r="J160" s="58"/>
      <c r="K160" s="58"/>
      <c r="L160" s="63"/>
      <c r="M160" s="62"/>
      <c r="N160" s="62"/>
      <c r="O160" s="62"/>
      <c r="P160" s="63"/>
      <c r="Q160" s="63">
        <v>2</v>
      </c>
      <c r="R160" s="8"/>
      <c r="S160" s="8"/>
      <c r="T160" s="8"/>
      <c r="U160" s="8"/>
      <c r="V160"/>
      <c r="W160"/>
      <c r="X160" s="6"/>
      <c r="Y160"/>
      <c r="Z160"/>
      <c r="AA160"/>
      <c r="AB160"/>
      <c r="AC160"/>
      <c r="AD160"/>
      <c r="AE160"/>
    </row>
    <row r="161" spans="2:31" ht="14.25" customHeight="1" x14ac:dyDescent="0.25">
      <c r="B161" s="25"/>
      <c r="C161" s="246" t="s">
        <v>456</v>
      </c>
      <c r="D161" s="247"/>
      <c r="E161" s="247"/>
      <c r="F161" s="248"/>
      <c r="G161"/>
      <c r="H161"/>
      <c r="I161"/>
      <c r="J161"/>
      <c r="K161"/>
      <c r="L161"/>
      <c r="M161" s="246" t="s">
        <v>456</v>
      </c>
      <c r="N161" s="247"/>
      <c r="O161" s="247"/>
      <c r="P161" s="248"/>
      <c r="Q161"/>
      <c r="R161" s="8"/>
      <c r="S161" s="8"/>
      <c r="T161" s="8"/>
      <c r="U161" s="8"/>
      <c r="V161"/>
      <c r="W161"/>
      <c r="X161" s="6"/>
      <c r="Y161"/>
      <c r="Z161"/>
      <c r="AA161"/>
      <c r="AB161"/>
      <c r="AC161"/>
      <c r="AD161"/>
      <c r="AE161"/>
    </row>
    <row r="162" spans="2:31" ht="14.25" customHeight="1" thickBot="1" x14ac:dyDescent="0.3">
      <c r="C162" s="214" t="s">
        <v>14</v>
      </c>
      <c r="D162" s="215" t="s">
        <v>15</v>
      </c>
      <c r="E162" s="215" t="s">
        <v>16</v>
      </c>
      <c r="F162" s="216" t="s">
        <v>17</v>
      </c>
      <c r="G162"/>
      <c r="H162"/>
      <c r="I162"/>
      <c r="J162"/>
      <c r="K162"/>
      <c r="L162"/>
      <c r="M162" s="214" t="s">
        <v>14</v>
      </c>
      <c r="N162" s="215" t="s">
        <v>15</v>
      </c>
      <c r="O162" s="215" t="s">
        <v>16</v>
      </c>
      <c r="P162" s="216" t="s">
        <v>17</v>
      </c>
      <c r="Q162"/>
      <c r="R162" s="8"/>
      <c r="S162" s="8"/>
      <c r="T162" s="8"/>
      <c r="U162" s="8"/>
      <c r="V162"/>
      <c r="W162"/>
      <c r="X162" s="6"/>
      <c r="Y162"/>
      <c r="Z162"/>
      <c r="AA162"/>
      <c r="AB162"/>
      <c r="AC162"/>
      <c r="AD162"/>
      <c r="AE162"/>
    </row>
    <row r="163" spans="2:31" ht="14.25" customHeight="1" x14ac:dyDescent="0.25">
      <c r="B163" s="117" t="s">
        <v>347</v>
      </c>
      <c r="C163" s="239" t="s">
        <v>851</v>
      </c>
      <c r="D163" s="205" t="s">
        <v>815</v>
      </c>
      <c r="E163" s="149"/>
      <c r="F163" s="150"/>
      <c r="G163"/>
      <c r="H163"/>
      <c r="I163"/>
      <c r="J163"/>
      <c r="K163" s="179" t="s">
        <v>354</v>
      </c>
      <c r="L163" s="187"/>
      <c r="M163" s="239" t="s">
        <v>851</v>
      </c>
      <c r="N163" s="205" t="s">
        <v>815</v>
      </c>
      <c r="O163" s="149"/>
      <c r="P163" s="150"/>
      <c r="Q163"/>
      <c r="R163" s="8"/>
      <c r="S163" s="8"/>
      <c r="T163" s="68" t="s">
        <v>453</v>
      </c>
      <c r="U163" s="82" t="s">
        <v>453</v>
      </c>
      <c r="V163" t="s">
        <v>453</v>
      </c>
      <c r="W163" t="s">
        <v>453</v>
      </c>
      <c r="X163" s="6"/>
      <c r="Y163" t="s">
        <v>347</v>
      </c>
      <c r="Z163"/>
      <c r="AA163"/>
      <c r="AB163"/>
      <c r="AC163"/>
      <c r="AD163" t="s">
        <v>354</v>
      </c>
      <c r="AE163"/>
    </row>
    <row r="164" spans="2:31" ht="14.25" customHeight="1" x14ac:dyDescent="0.25">
      <c r="B164" s="158" t="s">
        <v>351</v>
      </c>
      <c r="C164" s="239" t="s">
        <v>21</v>
      </c>
      <c r="D164" s="205" t="s">
        <v>815</v>
      </c>
      <c r="E164" s="146"/>
      <c r="F164" s="151"/>
      <c r="G164"/>
      <c r="H164"/>
      <c r="I164"/>
      <c r="J164"/>
      <c r="K164" s="181" t="s">
        <v>846</v>
      </c>
      <c r="L164" s="186"/>
      <c r="M164" s="239" t="s">
        <v>851</v>
      </c>
      <c r="N164" s="205" t="s">
        <v>815</v>
      </c>
      <c r="O164" s="146"/>
      <c r="P164" s="151"/>
      <c r="Q164"/>
      <c r="R164" s="8"/>
      <c r="S164" s="8"/>
      <c r="T164" s="69" t="s">
        <v>453</v>
      </c>
      <c r="U164" s="83" t="s">
        <v>453</v>
      </c>
      <c r="V164" t="s">
        <v>453</v>
      </c>
      <c r="W164" t="e">
        <f>INDEX('Country Code LU'!$B$2:$B$250,MATCH('Priority Manifest'!$K165,'Country Code LU'!$A$2:$A$250,0))</f>
        <v>#N/A</v>
      </c>
      <c r="X164" s="6"/>
      <c r="Y164" t="s">
        <v>351</v>
      </c>
      <c r="Z164"/>
      <c r="AA164"/>
      <c r="AB164"/>
      <c r="AC164"/>
      <c r="AD164" t="s">
        <v>358</v>
      </c>
      <c r="AE164"/>
    </row>
    <row r="165" spans="2:31" ht="14.25" customHeight="1" x14ac:dyDescent="0.25">
      <c r="B165" s="158" t="s">
        <v>839</v>
      </c>
      <c r="C165" s="239" t="s">
        <v>851</v>
      </c>
      <c r="D165" s="205" t="s">
        <v>815</v>
      </c>
      <c r="E165" s="146"/>
      <c r="F165" s="151"/>
      <c r="G165"/>
      <c r="H165"/>
      <c r="I165"/>
      <c r="J165"/>
      <c r="K165" s="181" t="s">
        <v>362</v>
      </c>
      <c r="L165" s="186"/>
      <c r="M165" s="239" t="s">
        <v>851</v>
      </c>
      <c r="N165" s="205" t="s">
        <v>815</v>
      </c>
      <c r="O165" s="146"/>
      <c r="P165" s="151"/>
      <c r="Q165"/>
      <c r="R165" s="8"/>
      <c r="S165" s="8"/>
      <c r="T165" s="69" t="s">
        <v>453</v>
      </c>
      <c r="U165" s="83" t="s">
        <v>453</v>
      </c>
      <c r="V165" t="s">
        <v>453</v>
      </c>
      <c r="W165" t="str">
        <f>INDEX('Country Code LU'!$B$2:$B$250,MATCH('Priority Manifest'!$K166,'Country Code LU'!$A$2:$A$250,0))</f>
        <v>TH</v>
      </c>
      <c r="X165" s="6"/>
      <c r="Y165" t="s">
        <v>353</v>
      </c>
      <c r="Z165"/>
      <c r="AA165"/>
      <c r="AB165"/>
      <c r="AC165"/>
      <c r="AD165" t="s">
        <v>362</v>
      </c>
      <c r="AE165"/>
    </row>
    <row r="166" spans="2:31" ht="14.25" customHeight="1" x14ac:dyDescent="0.25">
      <c r="B166" s="158" t="s">
        <v>357</v>
      </c>
      <c r="C166" s="239" t="s">
        <v>851</v>
      </c>
      <c r="D166" s="205" t="s">
        <v>815</v>
      </c>
      <c r="E166" s="146"/>
      <c r="F166" s="151"/>
      <c r="G166"/>
      <c r="H166"/>
      <c r="I166"/>
      <c r="J166"/>
      <c r="K166" s="181" t="s">
        <v>826</v>
      </c>
      <c r="L166" s="186"/>
      <c r="M166" s="239" t="s">
        <v>851</v>
      </c>
      <c r="N166" s="205" t="s">
        <v>815</v>
      </c>
      <c r="O166" s="146"/>
      <c r="P166" s="151"/>
      <c r="Q166"/>
      <c r="R166" s="8"/>
      <c r="S166" s="8"/>
      <c r="T166" s="69" t="s">
        <v>453</v>
      </c>
      <c r="U166" s="83" t="s">
        <v>453</v>
      </c>
      <c r="V166" t="s">
        <v>453</v>
      </c>
      <c r="W166" t="s">
        <v>453</v>
      </c>
      <c r="X166" s="6"/>
      <c r="Y166" t="s">
        <v>357</v>
      </c>
      <c r="Z166"/>
      <c r="AA166"/>
      <c r="AB166"/>
      <c r="AC166"/>
      <c r="AD166" t="s">
        <v>366</v>
      </c>
      <c r="AE166"/>
    </row>
    <row r="167" spans="2:31" ht="14.25" customHeight="1" x14ac:dyDescent="0.25">
      <c r="B167" s="158" t="s">
        <v>361</v>
      </c>
      <c r="C167" s="239" t="s">
        <v>851</v>
      </c>
      <c r="D167" s="205" t="s">
        <v>815</v>
      </c>
      <c r="E167" s="146"/>
      <c r="F167" s="151"/>
      <c r="G167"/>
      <c r="H167"/>
      <c r="I167"/>
      <c r="J167"/>
      <c r="K167" s="181" t="s">
        <v>366</v>
      </c>
      <c r="L167" s="186"/>
      <c r="M167" s="239" t="s">
        <v>851</v>
      </c>
      <c r="N167" s="205" t="s">
        <v>815</v>
      </c>
      <c r="O167" s="146"/>
      <c r="P167" s="151"/>
      <c r="Q167"/>
      <c r="R167" s="8"/>
      <c r="S167" s="8"/>
      <c r="T167" s="69" t="s">
        <v>453</v>
      </c>
      <c r="U167" s="83" t="s">
        <v>453</v>
      </c>
      <c r="V167" t="s">
        <v>453</v>
      </c>
      <c r="W167" t="s">
        <v>453</v>
      </c>
      <c r="X167" s="6"/>
      <c r="Y167" t="s">
        <v>361</v>
      </c>
      <c r="Z167"/>
      <c r="AA167"/>
      <c r="AB167"/>
      <c r="AC167"/>
      <c r="AD167" t="s">
        <v>370</v>
      </c>
      <c r="AE167"/>
    </row>
    <row r="168" spans="2:31" ht="14.25" customHeight="1" x14ac:dyDescent="0.25">
      <c r="B168" s="158" t="s">
        <v>365</v>
      </c>
      <c r="C168" s="239" t="s">
        <v>851</v>
      </c>
      <c r="D168" s="205" t="s">
        <v>815</v>
      </c>
      <c r="E168" s="146"/>
      <c r="F168" s="151"/>
      <c r="G168"/>
      <c r="H168"/>
      <c r="I168"/>
      <c r="J168"/>
      <c r="K168" s="181" t="s">
        <v>370</v>
      </c>
      <c r="L168" s="186"/>
      <c r="M168" s="239" t="s">
        <v>21</v>
      </c>
      <c r="N168" s="205" t="s">
        <v>815</v>
      </c>
      <c r="O168" s="146"/>
      <c r="P168" s="151"/>
      <c r="Q168"/>
      <c r="R168" s="8"/>
      <c r="S168" s="8"/>
      <c r="T168" s="69" t="s">
        <v>453</v>
      </c>
      <c r="U168" s="83" t="s">
        <v>453</v>
      </c>
      <c r="V168" t="s">
        <v>453</v>
      </c>
      <c r="W168" t="s">
        <v>453</v>
      </c>
      <c r="X168" s="6"/>
      <c r="Y168" t="s">
        <v>365</v>
      </c>
      <c r="Z168"/>
      <c r="AA168"/>
      <c r="AB168"/>
      <c r="AC168"/>
      <c r="AD168" t="s">
        <v>374</v>
      </c>
      <c r="AE168"/>
    </row>
    <row r="169" spans="2:31" ht="14.25" customHeight="1" x14ac:dyDescent="0.25">
      <c r="B169" s="158" t="s">
        <v>369</v>
      </c>
      <c r="C169" s="239" t="s">
        <v>851</v>
      </c>
      <c r="D169" s="205" t="s">
        <v>815</v>
      </c>
      <c r="E169" s="146"/>
      <c r="F169" s="151"/>
      <c r="G169"/>
      <c r="H169"/>
      <c r="I169"/>
      <c r="J169"/>
      <c r="K169" s="181" t="s">
        <v>374</v>
      </c>
      <c r="L169" s="186"/>
      <c r="M169" s="239" t="s">
        <v>851</v>
      </c>
      <c r="N169" s="205" t="s">
        <v>815</v>
      </c>
      <c r="O169" s="146"/>
      <c r="P169" s="151"/>
      <c r="Q169"/>
      <c r="R169" s="8"/>
      <c r="S169" s="8"/>
      <c r="T169" s="69" t="s">
        <v>453</v>
      </c>
      <c r="U169" s="83" t="s">
        <v>453</v>
      </c>
      <c r="V169" t="s">
        <v>453</v>
      </c>
      <c r="W169" t="s">
        <v>453</v>
      </c>
      <c r="X169" s="6"/>
      <c r="Y169" t="s">
        <v>369</v>
      </c>
      <c r="Z169"/>
      <c r="AA169"/>
      <c r="AB169"/>
      <c r="AC169"/>
      <c r="AD169" t="s">
        <v>378</v>
      </c>
      <c r="AE169"/>
    </row>
    <row r="170" spans="2:31" ht="14.25" customHeight="1" x14ac:dyDescent="0.25">
      <c r="B170" s="158" t="s">
        <v>373</v>
      </c>
      <c r="C170" s="239" t="s">
        <v>851</v>
      </c>
      <c r="D170" s="205" t="s">
        <v>815</v>
      </c>
      <c r="E170" s="146"/>
      <c r="F170" s="151"/>
      <c r="G170"/>
      <c r="H170"/>
      <c r="I170"/>
      <c r="J170"/>
      <c r="K170" s="181" t="s">
        <v>378</v>
      </c>
      <c r="L170" s="186"/>
      <c r="M170" s="239" t="s">
        <v>851</v>
      </c>
      <c r="N170" s="205" t="s">
        <v>815</v>
      </c>
      <c r="O170" s="146"/>
      <c r="P170" s="151"/>
      <c r="Q170"/>
      <c r="R170" s="8"/>
      <c r="S170" s="8"/>
      <c r="T170" s="69" t="s">
        <v>453</v>
      </c>
      <c r="U170" s="83" t="s">
        <v>453</v>
      </c>
      <c r="V170" t="str">
        <f>INDEX('Country Code LU'!$B$2:$B$250,MATCH('Priority Manifest'!$B171,'Country Code LU'!$A$2:$A$250,0))</f>
        <v>PH</v>
      </c>
      <c r="W170" t="s">
        <v>453</v>
      </c>
      <c r="X170" s="6"/>
      <c r="Y170" t="s">
        <v>373</v>
      </c>
      <c r="Z170"/>
      <c r="AA170"/>
      <c r="AB170"/>
      <c r="AC170"/>
      <c r="AD170" t="s">
        <v>382</v>
      </c>
      <c r="AE170"/>
    </row>
    <row r="171" spans="2:31" ht="14.25" customHeight="1" x14ac:dyDescent="0.25">
      <c r="B171" s="158" t="s">
        <v>381</v>
      </c>
      <c r="C171" s="239" t="s">
        <v>21</v>
      </c>
      <c r="D171" s="205" t="s">
        <v>815</v>
      </c>
      <c r="E171" s="146"/>
      <c r="F171" s="151"/>
      <c r="G171"/>
      <c r="H171"/>
      <c r="I171"/>
      <c r="J171"/>
      <c r="K171" s="181" t="s">
        <v>382</v>
      </c>
      <c r="L171" s="186"/>
      <c r="M171" s="239" t="s">
        <v>851</v>
      </c>
      <c r="N171" s="204" t="s">
        <v>816</v>
      </c>
      <c r="O171" s="146"/>
      <c r="P171" s="151"/>
      <c r="Q171"/>
      <c r="R171" s="8"/>
      <c r="S171" s="8"/>
      <c r="T171" s="69" t="s">
        <v>453</v>
      </c>
      <c r="U171" s="83" t="s">
        <v>453</v>
      </c>
      <c r="V171" t="s">
        <v>453</v>
      </c>
      <c r="W171" t="str">
        <f>INDEX('Country Code LU'!$B$2:$B$250,MATCH('Priority Manifest'!$K173,'Country Code LU'!$A$2:$A$250,0))</f>
        <v>TR</v>
      </c>
      <c r="X171" s="6"/>
      <c r="Y171" t="s">
        <v>377</v>
      </c>
      <c r="Z171"/>
      <c r="AA171"/>
      <c r="AB171"/>
      <c r="AC171"/>
      <c r="AD171" t="s">
        <v>386</v>
      </c>
      <c r="AE171"/>
    </row>
    <row r="172" spans="2:31" ht="14.25" customHeight="1" x14ac:dyDescent="0.25">
      <c r="B172" s="158" t="s">
        <v>385</v>
      </c>
      <c r="C172" s="239" t="s">
        <v>851</v>
      </c>
      <c r="D172" s="205" t="s">
        <v>815</v>
      </c>
      <c r="E172" s="146"/>
      <c r="F172" s="151"/>
      <c r="G172"/>
      <c r="H172"/>
      <c r="I172"/>
      <c r="J172"/>
      <c r="K172" s="181" t="s">
        <v>386</v>
      </c>
      <c r="L172" s="186"/>
      <c r="M172" s="239" t="s">
        <v>851</v>
      </c>
      <c r="N172" s="204" t="s">
        <v>816</v>
      </c>
      <c r="O172" s="146"/>
      <c r="P172" s="151"/>
      <c r="Q172"/>
      <c r="R172" s="8"/>
      <c r="S172" s="8"/>
      <c r="T172" s="69" t="s">
        <v>453</v>
      </c>
      <c r="U172" s="83" t="s">
        <v>453</v>
      </c>
      <c r="V172" t="s">
        <v>453</v>
      </c>
      <c r="W172" t="s">
        <v>453</v>
      </c>
      <c r="X172" s="6"/>
      <c r="Y172" t="s">
        <v>381</v>
      </c>
      <c r="Z172"/>
      <c r="AA172"/>
      <c r="AB172"/>
      <c r="AC172"/>
      <c r="AD172" t="s">
        <v>390</v>
      </c>
      <c r="AE172"/>
    </row>
    <row r="173" spans="2:31" ht="14.25" customHeight="1" x14ac:dyDescent="0.25">
      <c r="B173" s="158" t="s">
        <v>840</v>
      </c>
      <c r="C173" s="239" t="s">
        <v>21</v>
      </c>
      <c r="D173" s="205" t="s">
        <v>815</v>
      </c>
      <c r="E173" s="146"/>
      <c r="F173" s="151"/>
      <c r="G173"/>
      <c r="H173"/>
      <c r="I173"/>
      <c r="J173"/>
      <c r="K173" s="181" t="s">
        <v>390</v>
      </c>
      <c r="L173" s="186"/>
      <c r="M173" s="239" t="s">
        <v>851</v>
      </c>
      <c r="N173" s="205" t="s">
        <v>815</v>
      </c>
      <c r="O173" s="146"/>
      <c r="P173" s="151"/>
      <c r="Q173"/>
      <c r="R173" s="8"/>
      <c r="S173" s="8"/>
      <c r="T173" s="69" t="s">
        <v>453</v>
      </c>
      <c r="U173" s="83" t="s">
        <v>453</v>
      </c>
      <c r="V173" t="str">
        <f>INDEX('Country Code LU'!$B$2:$B$250,MATCH('Priority Manifest'!$B173,'Country Code LU'!$A$2:$A$250,0))</f>
        <v>QA</v>
      </c>
      <c r="W173" t="s">
        <v>453</v>
      </c>
      <c r="X173" s="6"/>
      <c r="Y173" t="s">
        <v>385</v>
      </c>
      <c r="Z173"/>
      <c r="AA173"/>
      <c r="AB173"/>
      <c r="AC173"/>
      <c r="AD173" t="s">
        <v>482</v>
      </c>
      <c r="AE173"/>
    </row>
    <row r="174" spans="2:31" ht="14.25" customHeight="1" x14ac:dyDescent="0.25">
      <c r="B174" s="158" t="s">
        <v>393</v>
      </c>
      <c r="C174" s="239" t="s">
        <v>851</v>
      </c>
      <c r="D174" s="205" t="s">
        <v>815</v>
      </c>
      <c r="E174" s="146"/>
      <c r="F174" s="151"/>
      <c r="G174"/>
      <c r="H174"/>
      <c r="I174"/>
      <c r="J174"/>
      <c r="K174" s="181" t="s">
        <v>482</v>
      </c>
      <c r="L174" s="186"/>
      <c r="M174" s="239" t="s">
        <v>21</v>
      </c>
      <c r="N174" s="205" t="s">
        <v>815</v>
      </c>
      <c r="O174" s="146"/>
      <c r="P174" s="151"/>
      <c r="Q174"/>
      <c r="R174" s="8"/>
      <c r="S174" s="8"/>
      <c r="T174" s="69" t="s">
        <v>453</v>
      </c>
      <c r="U174" s="83" t="s">
        <v>453</v>
      </c>
      <c r="V174" t="s">
        <v>453</v>
      </c>
      <c r="W174" t="s">
        <v>453</v>
      </c>
      <c r="X174" s="6"/>
      <c r="Y174" t="s">
        <v>389</v>
      </c>
      <c r="Z174"/>
      <c r="AA174"/>
      <c r="AB174"/>
      <c r="AC174"/>
      <c r="AD174" t="s">
        <v>397</v>
      </c>
      <c r="AE174"/>
    </row>
    <row r="175" spans="2:31" ht="14.25" customHeight="1" x14ac:dyDescent="0.25">
      <c r="B175" s="158" t="s">
        <v>396</v>
      </c>
      <c r="C175" s="239" t="s">
        <v>21</v>
      </c>
      <c r="D175" s="205" t="s">
        <v>815</v>
      </c>
      <c r="E175" s="146"/>
      <c r="F175" s="151"/>
      <c r="G175"/>
      <c r="H175"/>
      <c r="I175"/>
      <c r="J175"/>
      <c r="K175" s="181" t="s">
        <v>397</v>
      </c>
      <c r="L175" s="186"/>
      <c r="M175" s="239" t="s">
        <v>851</v>
      </c>
      <c r="N175" s="205" t="s">
        <v>815</v>
      </c>
      <c r="O175" s="146"/>
      <c r="P175" s="151"/>
      <c r="Q175"/>
      <c r="R175" s="8"/>
      <c r="S175" s="8"/>
      <c r="T175" s="69" t="s">
        <v>453</v>
      </c>
      <c r="U175" s="83" t="s">
        <v>453</v>
      </c>
      <c r="V175" t="s">
        <v>453</v>
      </c>
      <c r="W175" t="s">
        <v>453</v>
      </c>
      <c r="X175" s="6"/>
      <c r="Y175" t="s">
        <v>393</v>
      </c>
      <c r="Z175"/>
      <c r="AA175"/>
      <c r="AB175"/>
      <c r="AC175"/>
      <c r="AD175" t="s">
        <v>401</v>
      </c>
      <c r="AE175"/>
    </row>
    <row r="176" spans="2:31" ht="14.25" customHeight="1" x14ac:dyDescent="0.25">
      <c r="B176" s="158" t="s">
        <v>841</v>
      </c>
      <c r="C176" s="239" t="s">
        <v>21</v>
      </c>
      <c r="D176" s="205" t="s">
        <v>815</v>
      </c>
      <c r="E176" s="146"/>
      <c r="F176" s="151"/>
      <c r="G176"/>
      <c r="H176" s="8"/>
      <c r="I176" s="8"/>
      <c r="J176" s="8"/>
      <c r="K176" s="181" t="s">
        <v>401</v>
      </c>
      <c r="L176" s="186"/>
      <c r="M176" s="239" t="s">
        <v>851</v>
      </c>
      <c r="N176" s="205" t="s">
        <v>815</v>
      </c>
      <c r="O176" s="146"/>
      <c r="P176" s="151"/>
      <c r="Q176"/>
      <c r="R176" s="8"/>
      <c r="S176" s="8"/>
      <c r="T176" s="69" t="s">
        <v>453</v>
      </c>
      <c r="U176" s="83" t="s">
        <v>453</v>
      </c>
      <c r="V176" t="s">
        <v>453</v>
      </c>
      <c r="W176" t="str">
        <f>INDEX('Country Code LU'!$B$2:$B$250,MATCH('Priority Manifest'!$K178,'Country Code LU'!$A$2:$A$250,0))</f>
        <v>UA</v>
      </c>
      <c r="X176" s="6"/>
      <c r="Y176" t="s">
        <v>396</v>
      </c>
      <c r="Z176"/>
      <c r="AA176"/>
      <c r="AB176"/>
      <c r="AC176"/>
      <c r="AD176" t="s">
        <v>405</v>
      </c>
      <c r="AE176"/>
    </row>
    <row r="177" spans="2:31" ht="14.25" customHeight="1" x14ac:dyDescent="0.25">
      <c r="B177" s="158" t="s">
        <v>404</v>
      </c>
      <c r="C177" s="239" t="s">
        <v>851</v>
      </c>
      <c r="D177" s="205" t="s">
        <v>815</v>
      </c>
      <c r="E177" s="146"/>
      <c r="F177" s="151"/>
      <c r="G177"/>
      <c r="H177" s="8"/>
      <c r="I177" s="8"/>
      <c r="J177" s="8"/>
      <c r="K177" s="181" t="s">
        <v>405</v>
      </c>
      <c r="L177" s="186"/>
      <c r="M177" s="239" t="s">
        <v>851</v>
      </c>
      <c r="N177" s="205" t="s">
        <v>815</v>
      </c>
      <c r="O177" s="146"/>
      <c r="P177" s="151"/>
      <c r="Q177"/>
      <c r="R177" s="8"/>
      <c r="S177" s="8"/>
      <c r="T177" s="69" t="s">
        <v>453</v>
      </c>
      <c r="U177" s="83" t="s">
        <v>453</v>
      </c>
      <c r="V177" t="s">
        <v>453</v>
      </c>
      <c r="W177" t="str">
        <f>INDEX('Country Code LU'!$B$2:$B$250,MATCH('Priority Manifest'!$K179,'Country Code LU'!$A$2:$A$250,0))</f>
        <v>AE</v>
      </c>
      <c r="X177" s="6"/>
      <c r="Y177" t="s">
        <v>400</v>
      </c>
      <c r="Z177"/>
      <c r="AA177"/>
      <c r="AB177"/>
      <c r="AC177"/>
      <c r="AD177" t="s">
        <v>409</v>
      </c>
      <c r="AE177"/>
    </row>
    <row r="178" spans="2:31" ht="14.25" customHeight="1" x14ac:dyDescent="0.25">
      <c r="B178" s="158" t="s">
        <v>408</v>
      </c>
      <c r="C178" s="239" t="s">
        <v>851</v>
      </c>
      <c r="D178" s="205" t="s">
        <v>815</v>
      </c>
      <c r="E178" s="146"/>
      <c r="F178" s="151"/>
      <c r="G178"/>
      <c r="H178" s="8"/>
      <c r="I178" s="8"/>
      <c r="J178" s="8"/>
      <c r="K178" s="181" t="s">
        <v>409</v>
      </c>
      <c r="L178" s="186"/>
      <c r="M178" s="239" t="s">
        <v>851</v>
      </c>
      <c r="N178" s="205" t="s">
        <v>815</v>
      </c>
      <c r="O178" s="146"/>
      <c r="P178" s="151"/>
      <c r="Q178"/>
      <c r="R178" s="8"/>
      <c r="S178" s="8"/>
      <c r="T178" s="69" t="s">
        <v>453</v>
      </c>
      <c r="U178" s="83" t="s">
        <v>453</v>
      </c>
      <c r="V178" t="s">
        <v>453</v>
      </c>
      <c r="W178" t="s">
        <v>453</v>
      </c>
      <c r="X178" s="6"/>
      <c r="Y178" t="s">
        <v>404</v>
      </c>
      <c r="Z178"/>
      <c r="AA178"/>
      <c r="AB178"/>
      <c r="AC178"/>
      <c r="AD178" t="s">
        <v>413</v>
      </c>
      <c r="AE178"/>
    </row>
    <row r="179" spans="2:31" ht="14.25" customHeight="1" x14ac:dyDescent="0.25">
      <c r="B179" s="158" t="s">
        <v>842</v>
      </c>
      <c r="C179" s="239" t="s">
        <v>21</v>
      </c>
      <c r="D179" s="205" t="s">
        <v>815</v>
      </c>
      <c r="E179" s="146"/>
      <c r="F179" s="151"/>
      <c r="G179"/>
      <c r="H179" s="8"/>
      <c r="I179" s="8"/>
      <c r="J179" s="8"/>
      <c r="K179" s="181" t="s">
        <v>805</v>
      </c>
      <c r="L179" s="186"/>
      <c r="M179" s="239" t="s">
        <v>851</v>
      </c>
      <c r="N179" s="205" t="s">
        <v>815</v>
      </c>
      <c r="O179" s="146"/>
      <c r="P179" s="151"/>
      <c r="Q179"/>
      <c r="R179" s="8"/>
      <c r="S179" s="8"/>
      <c r="T179" s="69" t="s">
        <v>453</v>
      </c>
      <c r="U179" s="83" t="s">
        <v>453</v>
      </c>
      <c r="V179" t="s">
        <v>453</v>
      </c>
      <c r="W179" t="s">
        <v>453</v>
      </c>
      <c r="X179" s="6"/>
      <c r="Y179" t="s">
        <v>408</v>
      </c>
      <c r="Z179"/>
      <c r="AA179"/>
      <c r="AB179"/>
      <c r="AC179"/>
      <c r="AD179" t="s">
        <v>417</v>
      </c>
      <c r="AE179"/>
    </row>
    <row r="180" spans="2:31" ht="14.25" customHeight="1" x14ac:dyDescent="0.25">
      <c r="B180" s="158" t="s">
        <v>843</v>
      </c>
      <c r="C180" s="239" t="s">
        <v>21</v>
      </c>
      <c r="D180" s="205" t="s">
        <v>815</v>
      </c>
      <c r="E180" s="146"/>
      <c r="F180" s="151"/>
      <c r="G180"/>
      <c r="H180" s="8"/>
      <c r="I180" s="8"/>
      <c r="J180" s="8"/>
      <c r="K180" s="181" t="s">
        <v>413</v>
      </c>
      <c r="L180" s="186"/>
      <c r="M180" s="239" t="s">
        <v>851</v>
      </c>
      <c r="N180" s="205" t="s">
        <v>815</v>
      </c>
      <c r="O180" s="146"/>
      <c r="P180" s="151"/>
      <c r="Q180"/>
      <c r="R180" s="8"/>
      <c r="S180" s="8"/>
      <c r="T180" s="69" t="s">
        <v>453</v>
      </c>
      <c r="U180" s="83" t="s">
        <v>453</v>
      </c>
      <c r="V180" t="s">
        <v>453</v>
      </c>
      <c r="W180" t="s">
        <v>453</v>
      </c>
      <c r="X180" s="6"/>
      <c r="Y180" t="s">
        <v>412</v>
      </c>
      <c r="Z180"/>
      <c r="AA180"/>
      <c r="AB180"/>
      <c r="AC180"/>
      <c r="AD180" t="s">
        <v>421</v>
      </c>
      <c r="AE180"/>
    </row>
    <row r="181" spans="2:31" ht="14.25" customHeight="1" x14ac:dyDescent="0.25">
      <c r="B181" s="158" t="s">
        <v>844</v>
      </c>
      <c r="C181" s="239" t="s">
        <v>851</v>
      </c>
      <c r="D181" s="205" t="s">
        <v>815</v>
      </c>
      <c r="E181" s="146"/>
      <c r="F181" s="151"/>
      <c r="G181"/>
      <c r="H181" s="8"/>
      <c r="I181" s="8"/>
      <c r="J181" s="8"/>
      <c r="K181" s="181" t="s">
        <v>417</v>
      </c>
      <c r="L181" s="186"/>
      <c r="M181" s="239" t="s">
        <v>851</v>
      </c>
      <c r="N181" s="205" t="s">
        <v>815</v>
      </c>
      <c r="O181" s="146"/>
      <c r="P181" s="151"/>
      <c r="Q181"/>
      <c r="R181" s="8"/>
      <c r="S181" s="8"/>
      <c r="T181" s="69" t="s">
        <v>453</v>
      </c>
      <c r="U181" s="83" t="s">
        <v>453</v>
      </c>
      <c r="V181" t="s">
        <v>453</v>
      </c>
      <c r="W181" t="s">
        <v>453</v>
      </c>
      <c r="X181" s="6"/>
      <c r="Y181" t="s">
        <v>416</v>
      </c>
      <c r="Z181"/>
      <c r="AA181"/>
      <c r="AB181"/>
      <c r="AC181"/>
      <c r="AD181" t="s">
        <v>425</v>
      </c>
      <c r="AE181"/>
    </row>
    <row r="182" spans="2:31" ht="14.25" customHeight="1" x14ac:dyDescent="0.25">
      <c r="B182" s="158" t="s">
        <v>424</v>
      </c>
      <c r="C182" s="239" t="s">
        <v>851</v>
      </c>
      <c r="D182" s="205" t="s">
        <v>815</v>
      </c>
      <c r="E182" s="146"/>
      <c r="F182" s="151"/>
      <c r="G182"/>
      <c r="H182" s="8"/>
      <c r="I182" s="8"/>
      <c r="J182" s="8"/>
      <c r="K182" s="181" t="s">
        <v>421</v>
      </c>
      <c r="L182" s="186"/>
      <c r="M182" s="239" t="s">
        <v>851</v>
      </c>
      <c r="N182" s="205" t="s">
        <v>815</v>
      </c>
      <c r="O182" s="146"/>
      <c r="P182" s="151"/>
      <c r="Q182"/>
      <c r="R182" s="8"/>
      <c r="S182" s="8"/>
      <c r="T182" s="69" t="s">
        <v>453</v>
      </c>
      <c r="U182" s="83" t="s">
        <v>453</v>
      </c>
      <c r="V182" t="s">
        <v>453</v>
      </c>
      <c r="W182" t="s">
        <v>453</v>
      </c>
      <c r="X182" s="6"/>
      <c r="Y182" t="s">
        <v>420</v>
      </c>
      <c r="Z182"/>
      <c r="AA182"/>
      <c r="AB182"/>
      <c r="AC182"/>
      <c r="AD182" t="s">
        <v>428</v>
      </c>
      <c r="AE182"/>
    </row>
    <row r="183" spans="2:31" ht="14.25" customHeight="1" x14ac:dyDescent="0.25">
      <c r="B183" s="158" t="s">
        <v>479</v>
      </c>
      <c r="C183" s="239" t="s">
        <v>21</v>
      </c>
      <c r="D183" s="204" t="s">
        <v>816</v>
      </c>
      <c r="E183" s="146"/>
      <c r="F183" s="151"/>
      <c r="G183"/>
      <c r="H183" s="8"/>
      <c r="I183" s="8"/>
      <c r="J183" s="8"/>
      <c r="K183" s="181" t="s">
        <v>847</v>
      </c>
      <c r="L183" s="186"/>
      <c r="M183" s="239" t="s">
        <v>851</v>
      </c>
      <c r="N183" s="205" t="s">
        <v>815</v>
      </c>
      <c r="O183" s="146"/>
      <c r="P183" s="151"/>
      <c r="Q183"/>
      <c r="R183" s="8"/>
      <c r="S183" s="8"/>
      <c r="T183" s="69" t="s">
        <v>453</v>
      </c>
      <c r="U183" s="83" t="s">
        <v>453</v>
      </c>
      <c r="V183" t="s">
        <v>453</v>
      </c>
      <c r="W183" t="s">
        <v>453</v>
      </c>
      <c r="X183" s="6"/>
      <c r="Y183" t="s">
        <v>424</v>
      </c>
      <c r="Z183"/>
      <c r="AA183"/>
      <c r="AB183"/>
      <c r="AC183"/>
      <c r="AD183" t="s">
        <v>431</v>
      </c>
      <c r="AE183"/>
    </row>
    <row r="184" spans="2:31" ht="14.25" customHeight="1" x14ac:dyDescent="0.25">
      <c r="B184" s="158" t="s">
        <v>427</v>
      </c>
      <c r="C184" s="239" t="s">
        <v>851</v>
      </c>
      <c r="D184" s="205" t="s">
        <v>815</v>
      </c>
      <c r="E184" s="146"/>
      <c r="F184" s="151"/>
      <c r="G184"/>
      <c r="H184" s="8"/>
      <c r="I184" s="8"/>
      <c r="J184" s="8"/>
      <c r="K184" s="181" t="s">
        <v>848</v>
      </c>
      <c r="L184" s="186"/>
      <c r="M184" s="239" t="s">
        <v>851</v>
      </c>
      <c r="N184" s="205" t="s">
        <v>815</v>
      </c>
      <c r="O184" s="146"/>
      <c r="P184" s="151"/>
      <c r="Q184"/>
      <c r="R184" s="8"/>
      <c r="S184" s="8"/>
      <c r="T184" s="69" t="s">
        <v>453</v>
      </c>
      <c r="U184" s="83" t="s">
        <v>453</v>
      </c>
      <c r="V184" t="s">
        <v>453</v>
      </c>
      <c r="W184" t="s">
        <v>453</v>
      </c>
      <c r="X184" s="6"/>
      <c r="Y184" t="s">
        <v>479</v>
      </c>
      <c r="Z184"/>
      <c r="AA184"/>
      <c r="AB184"/>
      <c r="AC184"/>
      <c r="AD184" t="s">
        <v>434</v>
      </c>
      <c r="AE184"/>
    </row>
    <row r="185" spans="2:31" ht="14.25" customHeight="1" x14ac:dyDescent="0.25">
      <c r="B185" s="158" t="s">
        <v>430</v>
      </c>
      <c r="C185" s="239" t="s">
        <v>21</v>
      </c>
      <c r="D185" s="205" t="s">
        <v>815</v>
      </c>
      <c r="E185" s="146"/>
      <c r="F185" s="151"/>
      <c r="G185"/>
      <c r="H185" s="8"/>
      <c r="I185" s="8"/>
      <c r="J185" s="8"/>
      <c r="K185" s="181" t="s">
        <v>849</v>
      </c>
      <c r="L185" s="186"/>
      <c r="M185" s="239" t="s">
        <v>21</v>
      </c>
      <c r="N185" s="205" t="s">
        <v>815</v>
      </c>
      <c r="O185" s="146"/>
      <c r="P185" s="151"/>
      <c r="Q185"/>
      <c r="R185" s="8"/>
      <c r="S185" s="8"/>
      <c r="T185" s="69" t="s">
        <v>453</v>
      </c>
      <c r="U185" s="83" t="s">
        <v>453</v>
      </c>
      <c r="V185" t="s">
        <v>453</v>
      </c>
      <c r="W185" t="s">
        <v>453</v>
      </c>
      <c r="X185" s="6"/>
      <c r="Y185" t="s">
        <v>427</v>
      </c>
      <c r="Z185"/>
      <c r="AA185"/>
      <c r="AB185"/>
      <c r="AC185"/>
      <c r="AD185" t="s">
        <v>437</v>
      </c>
      <c r="AE185"/>
    </row>
    <row r="186" spans="2:31" ht="14.25" customHeight="1" x14ac:dyDescent="0.25">
      <c r="B186" s="158" t="s">
        <v>433</v>
      </c>
      <c r="C186" s="239" t="s">
        <v>851</v>
      </c>
      <c r="D186" s="205" t="s">
        <v>815</v>
      </c>
      <c r="E186" s="146"/>
      <c r="F186" s="151"/>
      <c r="G186"/>
      <c r="H186" s="8"/>
      <c r="I186" s="8"/>
      <c r="J186" s="8"/>
      <c r="K186" s="181" t="s">
        <v>442</v>
      </c>
      <c r="L186" s="186"/>
      <c r="M186" s="239" t="s">
        <v>851</v>
      </c>
      <c r="N186" s="204" t="s">
        <v>816</v>
      </c>
      <c r="O186" s="146"/>
      <c r="P186" s="151"/>
      <c r="Q186"/>
      <c r="R186" s="8"/>
      <c r="S186" s="8"/>
      <c r="T186" s="69" t="s">
        <v>453</v>
      </c>
      <c r="U186" s="83" t="s">
        <v>453</v>
      </c>
      <c r="V186" t="s">
        <v>453</v>
      </c>
      <c r="W186" t="s">
        <v>453</v>
      </c>
      <c r="X186" s="6"/>
      <c r="Y186" t="s">
        <v>430</v>
      </c>
      <c r="Z186"/>
      <c r="AA186"/>
      <c r="AB186"/>
      <c r="AC186"/>
      <c r="AD186" t="s">
        <v>789</v>
      </c>
      <c r="AE186"/>
    </row>
    <row r="187" spans="2:31" ht="14.25" customHeight="1" x14ac:dyDescent="0.25">
      <c r="B187" s="158" t="s">
        <v>436</v>
      </c>
      <c r="C187" s="239" t="s">
        <v>851</v>
      </c>
      <c r="D187" s="205" t="s">
        <v>815</v>
      </c>
      <c r="E187" s="146"/>
      <c r="F187" s="151"/>
      <c r="G187"/>
      <c r="H187" s="8"/>
      <c r="I187" s="8"/>
      <c r="J187" s="8"/>
      <c r="K187" s="181" t="s">
        <v>447</v>
      </c>
      <c r="L187" s="186"/>
      <c r="M187" s="239" t="s">
        <v>851</v>
      </c>
      <c r="N187" s="205" t="s">
        <v>815</v>
      </c>
      <c r="O187" s="146"/>
      <c r="P187" s="151"/>
      <c r="Q187"/>
      <c r="R187" s="8"/>
      <c r="S187" s="8"/>
      <c r="T187" s="69" t="s">
        <v>453</v>
      </c>
      <c r="U187" s="83" t="s">
        <v>453</v>
      </c>
      <c r="V187" t="s">
        <v>453</v>
      </c>
      <c r="W187" t="s">
        <v>453</v>
      </c>
      <c r="X187" s="6"/>
      <c r="Y187" t="s">
        <v>433</v>
      </c>
      <c r="Z187"/>
      <c r="AA187"/>
      <c r="AB187"/>
      <c r="AC187"/>
      <c r="AD187" t="s">
        <v>442</v>
      </c>
      <c r="AE187"/>
    </row>
    <row r="188" spans="2:31" ht="14.25" customHeight="1" thickBot="1" x14ac:dyDescent="0.3">
      <c r="B188" s="158" t="s">
        <v>439</v>
      </c>
      <c r="C188" s="239" t="s">
        <v>851</v>
      </c>
      <c r="D188" s="205" t="s">
        <v>815</v>
      </c>
      <c r="E188" s="146"/>
      <c r="F188" s="151"/>
      <c r="G188"/>
      <c r="H188" s="8"/>
      <c r="I188" s="8"/>
      <c r="J188" s="8"/>
      <c r="K188" s="184" t="s">
        <v>449</v>
      </c>
      <c r="L188" s="188"/>
      <c r="M188" s="239" t="s">
        <v>851</v>
      </c>
      <c r="N188" s="205" t="s">
        <v>815</v>
      </c>
      <c r="O188" s="153"/>
      <c r="P188" s="154"/>
      <c r="Q188"/>
      <c r="R188" s="8"/>
      <c r="S188" s="8"/>
      <c r="T188" s="69" t="s">
        <v>453</v>
      </c>
      <c r="U188" s="83" t="s">
        <v>453</v>
      </c>
      <c r="V188" t="s">
        <v>453</v>
      </c>
      <c r="W188" t="s">
        <v>453</v>
      </c>
      <c r="X188" s="6"/>
      <c r="Y188" t="s">
        <v>436</v>
      </c>
      <c r="Z188"/>
      <c r="AA188"/>
      <c r="AB188"/>
      <c r="AC188"/>
      <c r="AD188" t="s">
        <v>445</v>
      </c>
      <c r="AE188"/>
    </row>
    <row r="189" spans="2:31" ht="14.25" customHeight="1" x14ac:dyDescent="0.25">
      <c r="B189" s="158" t="s">
        <v>441</v>
      </c>
      <c r="C189" s="239" t="s">
        <v>851</v>
      </c>
      <c r="D189" s="205" t="s">
        <v>815</v>
      </c>
      <c r="E189" s="146"/>
      <c r="F189" s="151"/>
      <c r="G189"/>
      <c r="H189" s="8"/>
      <c r="I189" s="8"/>
      <c r="J189" s="8"/>
      <c r="K189"/>
      <c r="L189"/>
      <c r="M189"/>
      <c r="N189"/>
      <c r="O189"/>
      <c r="P189"/>
      <c r="Q189"/>
      <c r="R189" s="8"/>
      <c r="S189" s="8"/>
      <c r="T189" s="69" t="s">
        <v>453</v>
      </c>
      <c r="U189" s="83" t="s">
        <v>453</v>
      </c>
      <c r="V189" t="s">
        <v>453</v>
      </c>
      <c r="W189" t="s">
        <v>453</v>
      </c>
      <c r="X189" s="6"/>
      <c r="Y189" t="s">
        <v>439</v>
      </c>
      <c r="Z189"/>
      <c r="AA189"/>
      <c r="AB189"/>
      <c r="AC189"/>
      <c r="AD189" t="s">
        <v>447</v>
      </c>
      <c r="AE189"/>
    </row>
    <row r="190" spans="2:31" ht="14.25" customHeight="1" x14ac:dyDescent="0.25">
      <c r="B190" s="158" t="s">
        <v>731</v>
      </c>
      <c r="C190" s="239" t="s">
        <v>851</v>
      </c>
      <c r="D190" s="205" t="s">
        <v>815</v>
      </c>
      <c r="E190" s="146"/>
      <c r="F190" s="151"/>
      <c r="G190"/>
      <c r="H190" s="8"/>
      <c r="I190" s="8"/>
      <c r="J190" s="8"/>
      <c r="K190"/>
      <c r="L190"/>
      <c r="M190"/>
      <c r="N190"/>
      <c r="O190"/>
      <c r="P190"/>
      <c r="Q190"/>
      <c r="R190" s="8"/>
      <c r="S190" s="8"/>
      <c r="T190" s="69" t="s">
        <v>453</v>
      </c>
      <c r="U190" s="83" t="s">
        <v>453</v>
      </c>
      <c r="V190" t="s">
        <v>453</v>
      </c>
      <c r="W190" t="s">
        <v>453</v>
      </c>
      <c r="X190" s="6"/>
      <c r="Y190" t="s">
        <v>441</v>
      </c>
      <c r="Z190"/>
      <c r="AA190"/>
      <c r="AB190"/>
      <c r="AC190"/>
      <c r="AD190" t="s">
        <v>449</v>
      </c>
      <c r="AE190"/>
    </row>
    <row r="191" spans="2:31" ht="14.25" customHeight="1" x14ac:dyDescent="0.25">
      <c r="B191" s="158" t="s">
        <v>444</v>
      </c>
      <c r="C191" s="239" t="s">
        <v>851</v>
      </c>
      <c r="D191" s="205" t="s">
        <v>815</v>
      </c>
      <c r="E191" s="146"/>
      <c r="F191" s="151"/>
      <c r="G191"/>
      <c r="H191" s="8"/>
      <c r="I191" s="8"/>
      <c r="J191" s="8"/>
      <c r="K191"/>
      <c r="L191"/>
      <c r="M191"/>
      <c r="N191"/>
      <c r="O191"/>
      <c r="P191"/>
      <c r="Q191"/>
      <c r="R191" s="8"/>
      <c r="S191" s="8"/>
      <c r="T191" s="69"/>
      <c r="U191" s="83"/>
      <c r="V191"/>
      <c r="W191"/>
      <c r="X191" s="6"/>
      <c r="Y191"/>
      <c r="Z191"/>
      <c r="AA191"/>
      <c r="AB191"/>
      <c r="AC191"/>
      <c r="AD191"/>
      <c r="AE191"/>
    </row>
    <row r="192" spans="2:31" ht="14.25" customHeight="1" x14ac:dyDescent="0.25">
      <c r="B192" s="158" t="s">
        <v>448</v>
      </c>
      <c r="C192" s="239" t="s">
        <v>851</v>
      </c>
      <c r="D192" s="205" t="s">
        <v>815</v>
      </c>
      <c r="E192" s="146"/>
      <c r="F192" s="151"/>
      <c r="G192"/>
      <c r="H192" s="8"/>
      <c r="I192" s="8"/>
      <c r="J192" s="8"/>
      <c r="K192"/>
      <c r="L192"/>
      <c r="M192"/>
      <c r="N192"/>
      <c r="O192"/>
      <c r="P192"/>
      <c r="Q192"/>
      <c r="R192" s="8"/>
      <c r="S192" s="8"/>
      <c r="T192" s="69" t="s">
        <v>453</v>
      </c>
      <c r="U192" s="83" t="s">
        <v>453</v>
      </c>
      <c r="V192" t="s">
        <v>453</v>
      </c>
      <c r="W192"/>
      <c r="X192" s="6"/>
      <c r="Y192" t="s">
        <v>448</v>
      </c>
      <c r="Z192"/>
      <c r="AA192"/>
      <c r="AB192"/>
      <c r="AC192"/>
      <c r="AD192"/>
      <c r="AE192"/>
    </row>
    <row r="193" spans="2:31" ht="14.25" customHeight="1" x14ac:dyDescent="0.25">
      <c r="B193" s="158" t="s">
        <v>454</v>
      </c>
      <c r="C193" s="239" t="s">
        <v>851</v>
      </c>
      <c r="D193" s="205" t="s">
        <v>815</v>
      </c>
      <c r="E193" s="146"/>
      <c r="F193" s="151"/>
      <c r="G193"/>
      <c r="H193" s="8"/>
      <c r="I193" s="8"/>
      <c r="J193" s="8"/>
      <c r="K193"/>
      <c r="L193"/>
      <c r="M193"/>
      <c r="N193"/>
      <c r="O193"/>
      <c r="P193"/>
      <c r="Q193"/>
      <c r="R193" s="8"/>
      <c r="S193" s="8"/>
      <c r="T193" s="69" t="s">
        <v>453</v>
      </c>
      <c r="U193" s="83" t="s">
        <v>453</v>
      </c>
      <c r="V193" t="s">
        <v>453</v>
      </c>
      <c r="W193"/>
      <c r="X193" s="6"/>
      <c r="Y193" t="s">
        <v>451</v>
      </c>
      <c r="Z193"/>
      <c r="AA193"/>
      <c r="AB193"/>
      <c r="AC193"/>
      <c r="AD193"/>
      <c r="AE193"/>
    </row>
    <row r="194" spans="2:31" ht="14.25" customHeight="1" x14ac:dyDescent="0.25">
      <c r="B194" s="158" t="s">
        <v>341</v>
      </c>
      <c r="C194" s="239" t="s">
        <v>851</v>
      </c>
      <c r="D194" s="205" t="s">
        <v>815</v>
      </c>
      <c r="E194" s="146"/>
      <c r="F194" s="151"/>
      <c r="G194"/>
      <c r="H194" s="8"/>
      <c r="I194" s="8"/>
      <c r="J194" s="8"/>
      <c r="K194"/>
      <c r="L194"/>
      <c r="M194"/>
      <c r="N194"/>
      <c r="O194"/>
      <c r="P194"/>
      <c r="Q194"/>
      <c r="R194" s="8"/>
      <c r="S194" s="8"/>
      <c r="T194" s="69" t="s">
        <v>453</v>
      </c>
      <c r="U194" s="83" t="s">
        <v>453</v>
      </c>
      <c r="V194" t="s">
        <v>453</v>
      </c>
      <c r="W194"/>
      <c r="X194" s="6"/>
      <c r="Y194" t="s">
        <v>454</v>
      </c>
      <c r="Z194"/>
      <c r="AA194"/>
      <c r="AB194"/>
      <c r="AC194"/>
      <c r="AD194"/>
      <c r="AE194"/>
    </row>
    <row r="195" spans="2:31" ht="14.25" customHeight="1" thickBot="1" x14ac:dyDescent="0.3">
      <c r="B195" s="184" t="s">
        <v>748</v>
      </c>
      <c r="C195" s="239" t="s">
        <v>21</v>
      </c>
      <c r="D195" s="205" t="s">
        <v>815</v>
      </c>
      <c r="E195" s="153"/>
      <c r="F195" s="154"/>
      <c r="G195"/>
      <c r="H195" s="8"/>
      <c r="I195" s="8"/>
      <c r="J195" s="8"/>
      <c r="Q195"/>
      <c r="R195" s="8"/>
      <c r="S195" s="8"/>
      <c r="T195" s="69" t="s">
        <v>453</v>
      </c>
      <c r="U195" s="83" t="s">
        <v>453</v>
      </c>
      <c r="V195" t="s">
        <v>453</v>
      </c>
      <c r="W195"/>
      <c r="X195" s="6"/>
      <c r="Y195" t="s">
        <v>814</v>
      </c>
      <c r="Z195"/>
      <c r="AA195"/>
      <c r="AB195"/>
      <c r="AC195"/>
      <c r="AD195"/>
      <c r="AE195"/>
    </row>
    <row r="196" spans="2:31" ht="14.25" customHeight="1" x14ac:dyDescent="0.25">
      <c r="B196" s="52"/>
      <c r="C196"/>
      <c r="D196"/>
      <c r="E196"/>
      <c r="F196"/>
      <c r="G196"/>
      <c r="H196" s="8"/>
      <c r="I196" s="8"/>
      <c r="J196" s="8"/>
      <c r="K196" s="8"/>
      <c r="L196" s="8"/>
      <c r="M196" s="8"/>
      <c r="N196" s="8"/>
      <c r="O196" s="8"/>
      <c r="P196" s="8"/>
      <c r="Q196"/>
      <c r="R196" s="8"/>
      <c r="S196" s="8"/>
      <c r="T196" s="69" t="s">
        <v>453</v>
      </c>
      <c r="U196" s="83"/>
      <c r="V196" t="s">
        <v>453</v>
      </c>
      <c r="W196"/>
      <c r="X196" s="6"/>
      <c r="Y196" t="s">
        <v>348</v>
      </c>
      <c r="Z196"/>
      <c r="AA196"/>
      <c r="AB196"/>
      <c r="AC196"/>
      <c r="AD196"/>
      <c r="AE196"/>
    </row>
    <row r="197" spans="2:31" ht="14.25" customHeight="1" x14ac:dyDescent="0.25">
      <c r="B197" s="52"/>
      <c r="C197"/>
      <c r="D197"/>
      <c r="E197"/>
      <c r="F197"/>
      <c r="G197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69"/>
      <c r="U197" s="83"/>
      <c r="V197"/>
      <c r="W197"/>
      <c r="X197" s="6"/>
      <c r="Z197"/>
      <c r="AA197"/>
      <c r="AB197"/>
      <c r="AC197"/>
      <c r="AD197"/>
      <c r="AE197"/>
    </row>
    <row r="198" spans="2:31" ht="14.25" customHeight="1" x14ac:dyDescent="0.25">
      <c r="B198" s="52"/>
      <c r="C198"/>
      <c r="D198"/>
      <c r="E198"/>
      <c r="F198"/>
      <c r="G19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69"/>
      <c r="U198" s="83"/>
      <c r="V198"/>
      <c r="W198"/>
      <c r="X198" s="6"/>
      <c r="Z198"/>
      <c r="AA198"/>
      <c r="AB198"/>
      <c r="AC198"/>
      <c r="AD198"/>
      <c r="AE198"/>
    </row>
    <row r="199" spans="2:31" ht="14.25" customHeight="1" x14ac:dyDescent="0.25">
      <c r="B199" s="52"/>
      <c r="C199"/>
      <c r="D199"/>
      <c r="E199"/>
      <c r="F199"/>
      <c r="G199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69"/>
      <c r="U199" s="83"/>
      <c r="V199"/>
      <c r="W199"/>
      <c r="X199" s="6"/>
      <c r="Z199"/>
      <c r="AA199"/>
      <c r="AB199"/>
      <c r="AC199"/>
      <c r="AD199"/>
      <c r="AE199"/>
    </row>
    <row r="200" spans="2:31" ht="14.25" customHeight="1" x14ac:dyDescent="0.25">
      <c r="B200" s="52"/>
      <c r="C200"/>
      <c r="D200"/>
      <c r="E200"/>
      <c r="F200"/>
      <c r="G200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69"/>
      <c r="U200" s="83"/>
      <c r="V200"/>
      <c r="W200"/>
      <c r="X200" s="6"/>
      <c r="Z200"/>
      <c r="AA200"/>
      <c r="AB200"/>
      <c r="AC200"/>
      <c r="AD200"/>
      <c r="AE200"/>
    </row>
    <row r="201" spans="2:31" ht="14.25" customHeight="1" x14ac:dyDescent="0.25">
      <c r="B201" s="52"/>
      <c r="C201"/>
      <c r="D201"/>
      <c r="E201"/>
      <c r="F201"/>
      <c r="G201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69"/>
      <c r="U201" s="83"/>
      <c r="V201"/>
      <c r="W201"/>
      <c r="X201" s="6"/>
      <c r="Z201"/>
      <c r="AA201"/>
      <c r="AB201"/>
      <c r="AC201"/>
      <c r="AD201"/>
      <c r="AE201"/>
    </row>
    <row r="202" spans="2:31" ht="14.25" customHeight="1" x14ac:dyDescent="0.25">
      <c r="B202" s="52"/>
      <c r="C202"/>
      <c r="D202"/>
      <c r="E202"/>
      <c r="F202"/>
      <c r="G202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73"/>
      <c r="U202" s="84"/>
      <c r="V202"/>
      <c r="W202"/>
      <c r="X202" s="6"/>
      <c r="Z202"/>
      <c r="AA202"/>
      <c r="AB202"/>
      <c r="AC202"/>
      <c r="AD202"/>
      <c r="AE202"/>
    </row>
    <row r="203" spans="2:31" ht="14.25" customHeight="1" x14ac:dyDescent="0.25">
      <c r="B203" s="52"/>
      <c r="C203"/>
      <c r="D203"/>
      <c r="E203"/>
      <c r="F203"/>
      <c r="G203"/>
      <c r="H203" s="8"/>
      <c r="I203" s="8"/>
      <c r="J203" s="8"/>
      <c r="Q203" s="8"/>
      <c r="R203" s="8"/>
      <c r="S203" s="8"/>
      <c r="T203" s="8"/>
      <c r="U203" s="8"/>
      <c r="V203"/>
      <c r="W203"/>
      <c r="X203" s="6"/>
      <c r="Z203"/>
      <c r="AA203"/>
      <c r="AB203"/>
      <c r="AC203"/>
      <c r="AD203"/>
      <c r="AE203"/>
    </row>
    <row r="204" spans="2:31" ht="14.25" customHeight="1" x14ac:dyDescent="0.25">
      <c r="G204"/>
      <c r="H204" s="8"/>
      <c r="I204" s="8"/>
      <c r="J204" s="8"/>
      <c r="Q204" s="8"/>
      <c r="R204" s="8"/>
      <c r="S204" s="8"/>
      <c r="T204" s="8"/>
      <c r="U204" s="8"/>
      <c r="V204"/>
      <c r="W204"/>
      <c r="X204" s="6"/>
      <c r="Z204"/>
      <c r="AA204"/>
      <c r="AB204"/>
      <c r="AC204"/>
      <c r="AD204"/>
      <c r="AE204"/>
    </row>
    <row r="205" spans="2:31" ht="15" x14ac:dyDescent="0.25">
      <c r="Z205"/>
      <c r="AA205"/>
      <c r="AB205"/>
      <c r="AC205"/>
      <c r="AD205"/>
      <c r="AE205"/>
    </row>
    <row r="206" spans="2:31" ht="15" x14ac:dyDescent="0.25">
      <c r="Z206"/>
      <c r="AA206"/>
      <c r="AB206"/>
      <c r="AC206"/>
      <c r="AD206"/>
      <c r="AE206"/>
    </row>
    <row r="207" spans="2:31" ht="14.25" customHeight="1" x14ac:dyDescent="0.25">
      <c r="Z207"/>
      <c r="AA207"/>
      <c r="AB207"/>
      <c r="AC207"/>
      <c r="AD207"/>
      <c r="AE207"/>
    </row>
    <row r="208" spans="2:31" ht="14.25" customHeight="1" x14ac:dyDescent="0.25">
      <c r="Z208"/>
      <c r="AA208"/>
      <c r="AB208"/>
      <c r="AC208"/>
      <c r="AD208"/>
      <c r="AE208"/>
    </row>
    <row r="209" spans="26:31" ht="14.25" customHeight="1" x14ac:dyDescent="0.25">
      <c r="Z209"/>
      <c r="AA209"/>
      <c r="AB209"/>
      <c r="AC209"/>
      <c r="AD209"/>
      <c r="AE209"/>
    </row>
    <row r="210" spans="26:31" ht="14.25" customHeight="1" x14ac:dyDescent="0.25">
      <c r="Z210"/>
      <c r="AA210"/>
      <c r="AB210"/>
      <c r="AC210"/>
      <c r="AD210"/>
      <c r="AE210"/>
    </row>
    <row r="211" spans="26:31" ht="14.25" customHeight="1" x14ac:dyDescent="0.25">
      <c r="Z211"/>
      <c r="AA211"/>
      <c r="AB211"/>
      <c r="AC211"/>
      <c r="AD211"/>
      <c r="AE211"/>
    </row>
    <row r="212" spans="26:31" ht="14.25" customHeight="1" x14ac:dyDescent="0.25">
      <c r="Z212"/>
      <c r="AA212"/>
      <c r="AB212"/>
      <c r="AC212"/>
      <c r="AD212"/>
      <c r="AE212"/>
    </row>
    <row r="213" spans="26:31" ht="14.25" customHeight="1" x14ac:dyDescent="0.25">
      <c r="Z213"/>
      <c r="AA213"/>
      <c r="AB213"/>
      <c r="AC213"/>
      <c r="AD213"/>
      <c r="AE213"/>
    </row>
    <row r="214" spans="26:31" ht="14.25" customHeight="1" x14ac:dyDescent="0.25">
      <c r="Z214"/>
      <c r="AA214"/>
      <c r="AB214"/>
      <c r="AC214"/>
      <c r="AD214"/>
      <c r="AE214"/>
    </row>
    <row r="215" spans="26:31" ht="14.25" customHeight="1" x14ac:dyDescent="0.25">
      <c r="Z215"/>
      <c r="AA215"/>
      <c r="AB215"/>
      <c r="AC215"/>
      <c r="AD215"/>
      <c r="AE215"/>
    </row>
    <row r="216" spans="26:31" ht="14.25" customHeight="1" x14ac:dyDescent="0.25">
      <c r="Z216"/>
      <c r="AA216"/>
      <c r="AB216"/>
      <c r="AC216"/>
      <c r="AD216"/>
      <c r="AE216"/>
    </row>
    <row r="217" spans="26:31" ht="14.25" customHeight="1" x14ac:dyDescent="0.25">
      <c r="Z217"/>
      <c r="AA217"/>
      <c r="AB217"/>
      <c r="AC217"/>
      <c r="AD217"/>
      <c r="AE217"/>
    </row>
    <row r="218" spans="26:31" ht="14.25" customHeight="1" x14ac:dyDescent="0.25">
      <c r="Z218"/>
      <c r="AA218"/>
      <c r="AB218"/>
      <c r="AC218"/>
      <c r="AD218"/>
      <c r="AE218"/>
    </row>
    <row r="219" spans="26:31" ht="14.25" customHeight="1" x14ac:dyDescent="0.25">
      <c r="Z219"/>
      <c r="AA219"/>
      <c r="AB219"/>
      <c r="AC219"/>
      <c r="AD219"/>
      <c r="AE219"/>
    </row>
    <row r="220" spans="26:31" ht="14.25" customHeight="1" x14ac:dyDescent="0.25">
      <c r="Z220"/>
      <c r="AA220"/>
      <c r="AB220"/>
      <c r="AC220"/>
      <c r="AD220"/>
      <c r="AE220"/>
    </row>
    <row r="221" spans="26:31" ht="14.25" customHeight="1" x14ac:dyDescent="0.25">
      <c r="Z221"/>
      <c r="AA221"/>
      <c r="AB221"/>
      <c r="AC221"/>
      <c r="AD221"/>
      <c r="AE221"/>
    </row>
    <row r="222" spans="26:31" ht="14.25" customHeight="1" x14ac:dyDescent="0.25">
      <c r="Z222"/>
      <c r="AA222"/>
      <c r="AB222"/>
      <c r="AC222"/>
      <c r="AD222"/>
      <c r="AE222"/>
    </row>
    <row r="223" spans="26:31" ht="14.25" customHeight="1" x14ac:dyDescent="0.25">
      <c r="Z223"/>
      <c r="AA223"/>
      <c r="AB223"/>
      <c r="AC223"/>
      <c r="AD223"/>
      <c r="AE223"/>
    </row>
    <row r="224" spans="26:31" ht="14.25" customHeight="1" x14ac:dyDescent="0.25">
      <c r="Z224"/>
      <c r="AA224"/>
      <c r="AB224"/>
      <c r="AC224"/>
      <c r="AD224"/>
      <c r="AE224"/>
    </row>
    <row r="225" spans="26:31" ht="14.25" customHeight="1" x14ac:dyDescent="0.25">
      <c r="Z225"/>
      <c r="AA225"/>
      <c r="AB225"/>
      <c r="AC225"/>
      <c r="AD225"/>
      <c r="AE225"/>
    </row>
    <row r="226" spans="26:31" ht="14.25" customHeight="1" x14ac:dyDescent="0.25">
      <c r="Z226"/>
      <c r="AA226"/>
      <c r="AB226"/>
      <c r="AC226"/>
      <c r="AD226"/>
      <c r="AE226"/>
    </row>
    <row r="227" spans="26:31" ht="14.25" customHeight="1" x14ac:dyDescent="0.25">
      <c r="Z227"/>
      <c r="AA227"/>
      <c r="AB227"/>
      <c r="AC227"/>
      <c r="AD227"/>
      <c r="AE227"/>
    </row>
    <row r="228" spans="26:31" ht="14.25" customHeight="1" x14ac:dyDescent="0.25">
      <c r="Z228"/>
      <c r="AA228"/>
      <c r="AB228"/>
      <c r="AC228"/>
      <c r="AD228"/>
      <c r="AE228"/>
    </row>
    <row r="229" spans="26:31" ht="14.25" customHeight="1" x14ac:dyDescent="0.25">
      <c r="Z229"/>
      <c r="AA229"/>
      <c r="AB229"/>
      <c r="AC229"/>
      <c r="AD229"/>
      <c r="AE229"/>
    </row>
    <row r="230" spans="26:31" ht="14.25" customHeight="1" x14ac:dyDescent="0.25">
      <c r="Z230"/>
      <c r="AA230"/>
      <c r="AB230"/>
      <c r="AC230"/>
      <c r="AD230"/>
      <c r="AE230"/>
    </row>
    <row r="231" spans="26:31" ht="14.25" customHeight="1" x14ac:dyDescent="0.25">
      <c r="Z231"/>
      <c r="AA231"/>
      <c r="AB231"/>
      <c r="AC231"/>
      <c r="AD231"/>
      <c r="AE231"/>
    </row>
    <row r="232" spans="26:31" ht="14.25" customHeight="1" x14ac:dyDescent="0.25">
      <c r="Z232"/>
      <c r="AA232"/>
      <c r="AB232"/>
      <c r="AC232"/>
      <c r="AD232"/>
      <c r="AE232"/>
    </row>
    <row r="233" spans="26:31" ht="14.25" customHeight="1" x14ac:dyDescent="0.25">
      <c r="Z233"/>
      <c r="AA233"/>
      <c r="AB233"/>
      <c r="AC233"/>
      <c r="AD233"/>
      <c r="AE233"/>
    </row>
    <row r="234" spans="26:31" ht="14.25" customHeight="1" x14ac:dyDescent="0.25">
      <c r="Z234"/>
      <c r="AA234"/>
      <c r="AB234"/>
      <c r="AC234"/>
      <c r="AD234"/>
      <c r="AE234"/>
    </row>
    <row r="235" spans="26:31" ht="14.25" customHeight="1" x14ac:dyDescent="0.25">
      <c r="Z235"/>
      <c r="AA235"/>
      <c r="AB235"/>
      <c r="AC235"/>
      <c r="AD235"/>
      <c r="AE235"/>
    </row>
    <row r="236" spans="26:31" ht="14.25" customHeight="1" x14ac:dyDescent="0.25">
      <c r="Z236"/>
      <c r="AA236"/>
      <c r="AB236"/>
      <c r="AC236"/>
      <c r="AD236"/>
      <c r="AE236"/>
    </row>
    <row r="237" spans="26:31" ht="14.25" customHeight="1" x14ac:dyDescent="0.25">
      <c r="Z237"/>
      <c r="AA237"/>
      <c r="AB237"/>
      <c r="AC237"/>
      <c r="AD237"/>
      <c r="AE237"/>
    </row>
    <row r="238" spans="26:31" ht="14.25" customHeight="1" x14ac:dyDescent="0.25">
      <c r="Z238"/>
      <c r="AA238"/>
      <c r="AB238"/>
      <c r="AC238"/>
      <c r="AD238"/>
      <c r="AE238"/>
    </row>
    <row r="239" spans="26:31" ht="14.25" customHeight="1" x14ac:dyDescent="0.25">
      <c r="Z239"/>
      <c r="AA239"/>
      <c r="AB239"/>
      <c r="AC239"/>
      <c r="AD239"/>
      <c r="AE239"/>
    </row>
    <row r="240" spans="26:31" ht="14.25" customHeight="1" x14ac:dyDescent="0.25">
      <c r="Z240"/>
      <c r="AA240"/>
      <c r="AB240"/>
      <c r="AC240"/>
      <c r="AD240"/>
      <c r="AE240"/>
    </row>
    <row r="241" spans="26:31" ht="14.25" customHeight="1" x14ac:dyDescent="0.25">
      <c r="Z241"/>
      <c r="AA241"/>
      <c r="AB241"/>
      <c r="AC241"/>
      <c r="AD241"/>
      <c r="AE241"/>
    </row>
    <row r="242" spans="26:31" ht="14.25" customHeight="1" x14ac:dyDescent="0.25">
      <c r="Z242"/>
      <c r="AA242"/>
      <c r="AB242"/>
      <c r="AC242"/>
      <c r="AD242"/>
      <c r="AE242"/>
    </row>
    <row r="243" spans="26:31" ht="14.25" customHeight="1" x14ac:dyDescent="0.25">
      <c r="Z243"/>
      <c r="AA243"/>
      <c r="AB243"/>
      <c r="AC243"/>
      <c r="AD243"/>
      <c r="AE243"/>
    </row>
    <row r="244" spans="26:31" ht="14.25" customHeight="1" x14ac:dyDescent="0.25">
      <c r="Z244"/>
      <c r="AA244"/>
      <c r="AB244"/>
      <c r="AC244"/>
      <c r="AD244"/>
      <c r="AE244"/>
    </row>
    <row r="245" spans="26:31" ht="14.25" customHeight="1" x14ac:dyDescent="0.25">
      <c r="Z245"/>
      <c r="AA245"/>
      <c r="AB245"/>
      <c r="AC245"/>
      <c r="AD245"/>
      <c r="AE245"/>
    </row>
    <row r="246" spans="26:31" ht="14.25" customHeight="1" x14ac:dyDescent="0.25">
      <c r="Z246"/>
      <c r="AA246"/>
      <c r="AB246"/>
      <c r="AC246"/>
      <c r="AD246"/>
      <c r="AE246"/>
    </row>
    <row r="247" spans="26:31" ht="14.25" customHeight="1" x14ac:dyDescent="0.25">
      <c r="Z247"/>
      <c r="AA247"/>
      <c r="AB247"/>
      <c r="AC247"/>
      <c r="AD247"/>
      <c r="AE247"/>
    </row>
    <row r="248" spans="26:31" ht="14.25" customHeight="1" x14ac:dyDescent="0.25">
      <c r="Z248"/>
      <c r="AA248"/>
      <c r="AB248"/>
      <c r="AC248"/>
      <c r="AD248"/>
      <c r="AE248"/>
    </row>
    <row r="249" spans="26:31" ht="14.25" customHeight="1" x14ac:dyDescent="0.25">
      <c r="Z249"/>
      <c r="AA249"/>
      <c r="AB249"/>
      <c r="AC249"/>
      <c r="AD249"/>
      <c r="AE249"/>
    </row>
    <row r="250" spans="26:31" ht="14.25" customHeight="1" x14ac:dyDescent="0.25">
      <c r="Z250"/>
      <c r="AA250"/>
      <c r="AB250"/>
      <c r="AC250"/>
      <c r="AD250"/>
      <c r="AE250"/>
    </row>
    <row r="251" spans="26:31" ht="14.25" customHeight="1" x14ac:dyDescent="0.25">
      <c r="Z251"/>
      <c r="AA251"/>
      <c r="AB251"/>
      <c r="AC251"/>
      <c r="AD251"/>
      <c r="AE251"/>
    </row>
    <row r="252" spans="26:31" ht="14.25" customHeight="1" x14ac:dyDescent="0.25">
      <c r="Z252"/>
      <c r="AA252"/>
      <c r="AB252"/>
      <c r="AC252"/>
      <c r="AD252"/>
      <c r="AE252"/>
    </row>
    <row r="253" spans="26:31" ht="14.25" customHeight="1" x14ac:dyDescent="0.25">
      <c r="Z253"/>
      <c r="AA253"/>
      <c r="AB253"/>
      <c r="AC253"/>
      <c r="AD253"/>
      <c r="AE253"/>
    </row>
    <row r="254" spans="26:31" ht="14.25" customHeight="1" x14ac:dyDescent="0.25">
      <c r="Z254"/>
      <c r="AA254"/>
      <c r="AB254"/>
      <c r="AC254"/>
      <c r="AD254"/>
      <c r="AE254"/>
    </row>
    <row r="255" spans="26:31" ht="14.25" customHeight="1" x14ac:dyDescent="0.25">
      <c r="Z255"/>
      <c r="AA255"/>
      <c r="AB255"/>
      <c r="AC255"/>
      <c r="AD255"/>
      <c r="AE255"/>
    </row>
    <row r="256" spans="26:31" ht="14.25" customHeight="1" x14ac:dyDescent="0.25">
      <c r="Z256"/>
      <c r="AA256"/>
      <c r="AB256"/>
      <c r="AC256"/>
      <c r="AD256"/>
      <c r="AE256"/>
    </row>
    <row r="257" spans="26:31" ht="14.25" customHeight="1" x14ac:dyDescent="0.25">
      <c r="Z257"/>
      <c r="AA257"/>
      <c r="AB257"/>
      <c r="AC257"/>
      <c r="AD257"/>
      <c r="AE257"/>
    </row>
    <row r="258" spans="26:31" ht="14.25" customHeight="1" x14ac:dyDescent="0.25">
      <c r="Z258"/>
      <c r="AA258"/>
      <c r="AB258"/>
      <c r="AC258"/>
      <c r="AD258"/>
      <c r="AE258"/>
    </row>
    <row r="259" spans="26:31" ht="14.25" customHeight="1" x14ac:dyDescent="0.25">
      <c r="Z259"/>
      <c r="AA259"/>
      <c r="AB259"/>
      <c r="AC259"/>
      <c r="AD259"/>
      <c r="AE259"/>
    </row>
    <row r="260" spans="26:31" ht="14.25" customHeight="1" x14ac:dyDescent="0.25">
      <c r="Z260"/>
      <c r="AA260"/>
      <c r="AB260"/>
      <c r="AC260"/>
      <c r="AD260"/>
      <c r="AE260"/>
    </row>
    <row r="261" spans="26:31" ht="14.25" customHeight="1" x14ac:dyDescent="0.25">
      <c r="Z261"/>
      <c r="AA261"/>
      <c r="AB261"/>
      <c r="AC261"/>
      <c r="AD261"/>
      <c r="AE261"/>
    </row>
  </sheetData>
  <mergeCells count="51">
    <mergeCell ref="C161:F161"/>
    <mergeCell ref="M161:P161"/>
    <mergeCell ref="C108:F108"/>
    <mergeCell ref="M108:P108"/>
    <mergeCell ref="B158:C158"/>
    <mergeCell ref="D158:F158"/>
    <mergeCell ref="G158:H158"/>
    <mergeCell ref="L158:M158"/>
    <mergeCell ref="C74:F74"/>
    <mergeCell ref="M74:P74"/>
    <mergeCell ref="B105:C105"/>
    <mergeCell ref="D105:F105"/>
    <mergeCell ref="G105:H105"/>
    <mergeCell ref="L105:M105"/>
    <mergeCell ref="C57:F57"/>
    <mergeCell ref="H57:K57"/>
    <mergeCell ref="M57:P57"/>
    <mergeCell ref="C58:F58"/>
    <mergeCell ref="H58:K58"/>
    <mergeCell ref="M58:P58"/>
    <mergeCell ref="B54:C54"/>
    <mergeCell ref="D54:F54"/>
    <mergeCell ref="G54:H54"/>
    <mergeCell ref="I54:K54"/>
    <mergeCell ref="L54:M54"/>
    <mergeCell ref="N54:Q54"/>
    <mergeCell ref="E44:F44"/>
    <mergeCell ref="M44:N44"/>
    <mergeCell ref="E45:F45"/>
    <mergeCell ref="M45:N45"/>
    <mergeCell ref="C10:F10"/>
    <mergeCell ref="H10:K10"/>
    <mergeCell ref="M10:P10"/>
    <mergeCell ref="C11:F11"/>
    <mergeCell ref="H11:K11"/>
    <mergeCell ref="M11:P11"/>
    <mergeCell ref="N7:Q7"/>
    <mergeCell ref="G2:J2"/>
    <mergeCell ref="K2:N2"/>
    <mergeCell ref="G4:N4"/>
    <mergeCell ref="B6:C6"/>
    <mergeCell ref="D6:F6"/>
    <mergeCell ref="G6:H6"/>
    <mergeCell ref="I6:K6"/>
    <mergeCell ref="L6:M6"/>
    <mergeCell ref="N6:Q6"/>
    <mergeCell ref="B7:C7"/>
    <mergeCell ref="D7:F7"/>
    <mergeCell ref="G7:H7"/>
    <mergeCell ref="I7:K7"/>
    <mergeCell ref="L7:M7"/>
  </mergeCells>
  <conditionalFormatting sqref="D41">
    <cfRule type="cellIs" dxfId="47" priority="42" operator="equal">
      <formula>"Jersey Post"</formula>
    </cfRule>
    <cfRule type="containsText" dxfId="46" priority="43" operator="containsText" text="La Poste">
      <formula>NOT(ISERROR(SEARCH("La Poste",D41)))</formula>
    </cfRule>
    <cfRule type="containsText" dxfId="45" priority="44" operator="containsText" text="Swiss Post">
      <formula>NOT(ISERROR(SEARCH("Swiss Post",D41)))</formula>
    </cfRule>
  </conditionalFormatting>
  <conditionalFormatting sqref="D67">
    <cfRule type="cellIs" dxfId="44" priority="7" operator="equal">
      <formula>"Jersey Post"</formula>
    </cfRule>
    <cfRule type="containsText" dxfId="43" priority="8" operator="containsText" text="La Poste">
      <formula>NOT(ISERROR(SEARCH("La Poste",D67)))</formula>
    </cfRule>
    <cfRule type="containsText" dxfId="42" priority="9" operator="containsText" text="Swiss Post">
      <formula>NOT(ISERROR(SEARCH("Swiss Post",D67)))</formula>
    </cfRule>
  </conditionalFormatting>
  <conditionalFormatting sqref="F39">
    <cfRule type="expression" dxfId="41" priority="49">
      <formula>IF(#REF!="EUR",1,0)</formula>
    </cfRule>
  </conditionalFormatting>
  <conditionalFormatting sqref="F41">
    <cfRule type="expression" dxfId="40" priority="41">
      <formula>IF(#REF!="EUR",1,0)</formula>
    </cfRule>
  </conditionalFormatting>
  <conditionalFormatting sqref="F195">
    <cfRule type="expression" dxfId="39" priority="30">
      <formula>IF(#REF!="EUR",1,0)</formula>
    </cfRule>
  </conditionalFormatting>
  <conditionalFormatting sqref="I41">
    <cfRule type="cellIs" dxfId="38" priority="38" operator="equal">
      <formula>"Jersey Post"</formula>
    </cfRule>
    <cfRule type="containsText" dxfId="37" priority="39" operator="containsText" text="La Poste">
      <formula>NOT(ISERROR(SEARCH("La Poste",I41)))</formula>
    </cfRule>
    <cfRule type="containsText" dxfId="36" priority="40" operator="containsText" text="Swiss Post">
      <formula>NOT(ISERROR(SEARCH("Swiss Post",I41)))</formula>
    </cfRule>
  </conditionalFormatting>
  <conditionalFormatting sqref="I67">
    <cfRule type="cellIs" dxfId="35" priority="4" operator="equal">
      <formula>"Jersey Post"</formula>
    </cfRule>
    <cfRule type="containsText" dxfId="34" priority="5" operator="containsText" text="La Poste">
      <formula>NOT(ISERROR(SEARCH("La Poste",I67)))</formula>
    </cfRule>
    <cfRule type="containsText" dxfId="33" priority="6" operator="containsText" text="Swiss Post">
      <formula>NOT(ISERROR(SEARCH("Swiss Post",I67)))</formula>
    </cfRule>
  </conditionalFormatting>
  <conditionalFormatting sqref="K39">
    <cfRule type="expression" dxfId="32" priority="48">
      <formula>IF(#REF!="EUR",1,0)</formula>
    </cfRule>
  </conditionalFormatting>
  <conditionalFormatting sqref="K41">
    <cfRule type="expression" dxfId="31" priority="37">
      <formula>IF(#REF!="EUR",1,0)</formula>
    </cfRule>
  </conditionalFormatting>
  <conditionalFormatting sqref="N41">
    <cfRule type="cellIs" dxfId="30" priority="34" operator="equal">
      <formula>"Jersey Post"</formula>
    </cfRule>
    <cfRule type="containsText" dxfId="29" priority="35" operator="containsText" text="La Poste">
      <formula>NOT(ISERROR(SEARCH("La Poste",N41)))</formula>
    </cfRule>
    <cfRule type="containsText" dxfId="28" priority="36" operator="containsText" text="Swiss Post">
      <formula>NOT(ISERROR(SEARCH("Swiss Post",N41)))</formula>
    </cfRule>
  </conditionalFormatting>
  <conditionalFormatting sqref="N67">
    <cfRule type="cellIs" dxfId="27" priority="1" operator="equal">
      <formula>"Jersey Post"</formula>
    </cfRule>
    <cfRule type="containsText" dxfId="26" priority="2" operator="containsText" text="La Poste">
      <formula>NOT(ISERROR(SEARCH("La Poste",N67)))</formula>
    </cfRule>
    <cfRule type="containsText" dxfId="25" priority="3" operator="containsText" text="Swiss Post">
      <formula>NOT(ISERROR(SEARCH("Swiss Post",N67)))</formula>
    </cfRule>
  </conditionalFormatting>
  <conditionalFormatting sqref="O45:P45 O46:Q48">
    <cfRule type="cellIs" dxfId="24" priority="62" operator="equal">
      <formula>0</formula>
    </cfRule>
  </conditionalFormatting>
  <conditionalFormatting sqref="P39">
    <cfRule type="expression" dxfId="23" priority="47">
      <formula>IF(#REF!="EUR",1,0)</formula>
    </cfRule>
  </conditionalFormatting>
  <conditionalFormatting sqref="P41">
    <cfRule type="expression" dxfId="22" priority="33">
      <formula>IF(#REF!="EUR",1,0)</formula>
    </cfRule>
  </conditionalFormatting>
  <conditionalFormatting sqref="P188">
    <cfRule type="expression" dxfId="21" priority="16">
      <formula>IF(#REF!="EUR",1,0)</formula>
    </cfRule>
  </conditionalFormatting>
  <conditionalFormatting sqref="S129:S141">
    <cfRule type="expression" dxfId="20" priority="57">
      <formula>IF(#REF!="EUR",1,0)</formula>
    </cfRule>
  </conditionalFormatting>
  <conditionalFormatting sqref="S81:T93 T163:T202">
    <cfRule type="expression" dxfId="19" priority="60">
      <formula>IF(#REF!="EUR",1,0)</formula>
    </cfRule>
  </conditionalFormatting>
  <conditionalFormatting sqref="S111:T111 S112:S123 T112:T151">
    <cfRule type="expression" dxfId="18" priority="59">
      <formula>IF(#REF!="EUR",1,0)</formula>
    </cfRule>
  </conditionalFormatting>
  <conditionalFormatting sqref="T39">
    <cfRule type="expression" dxfId="17" priority="65">
      <formula>IF(#REF!="EUR",1,0)</formula>
    </cfRule>
  </conditionalFormatting>
  <printOptions horizontalCentered="1" verticalCentered="1"/>
  <pageMargins left="0.23622047244094491" right="0.23622047244094491" top="0.23622047244094491" bottom="0.23622047244094491" header="0.31496062992125984" footer="0.31496062992125984"/>
  <pageSetup paperSize="9" scale="75" fitToHeight="0" orientation="landscape" r:id="rId1"/>
  <rowBreaks count="1" manualBreakCount="1">
    <brk id="47" min="1" max="1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848E"/>
    <pageSetUpPr fitToPage="1"/>
  </sheetPr>
  <dimension ref="A1:AD342"/>
  <sheetViews>
    <sheetView showGridLines="0" showRowColHeaders="0" zoomScaleNormal="100" zoomScaleSheetLayoutView="85" workbookViewId="0">
      <selection activeCell="C13" sqref="C13"/>
    </sheetView>
  </sheetViews>
  <sheetFormatPr defaultColWidth="0" defaultRowHeight="14.25" customHeight="1" zeroHeight="1" x14ac:dyDescent="0.25"/>
  <cols>
    <col min="1" max="1" width="0.85546875" style="6" customWidth="1"/>
    <col min="2" max="2" width="18" style="6" customWidth="1"/>
    <col min="3" max="4" width="11.42578125" style="45" customWidth="1"/>
    <col min="5" max="6" width="11.42578125" style="6" customWidth="1"/>
    <col min="7" max="11" width="11.42578125" style="45" customWidth="1"/>
    <col min="12" max="13" width="11.42578125" style="6" customWidth="1"/>
    <col min="14" max="15" width="11.42578125" style="45" customWidth="1"/>
    <col min="16" max="17" width="11.42578125" style="6" customWidth="1"/>
    <col min="18" max="18" width="1.42578125" style="45" customWidth="1"/>
    <col min="19" max="19" width="8.140625" style="6" hidden="1" customWidth="1"/>
    <col min="20" max="20" width="8.140625" style="45" hidden="1" customWidth="1"/>
    <col min="21" max="21" width="9.7109375" style="45" hidden="1" customWidth="1"/>
    <col min="22" max="23" width="8.140625" style="6" hidden="1" customWidth="1"/>
    <col min="24" max="24" width="12.140625" style="45" hidden="1" customWidth="1"/>
    <col min="25" max="26" width="8.140625" style="6" hidden="1" customWidth="1"/>
    <col min="27" max="27" width="0.85546875" style="6" hidden="1" customWidth="1"/>
    <col min="28" max="30" width="0" style="6" hidden="1" customWidth="1"/>
    <col min="31" max="16384" width="9.140625" style="6" hidden="1"/>
  </cols>
  <sheetData>
    <row r="1" spans="1:28" s="1" customFormat="1" ht="4.5" customHeight="1" thickBot="1" x14ac:dyDescent="0.3">
      <c r="B1" s="1" t="s">
        <v>13</v>
      </c>
      <c r="C1" s="2"/>
      <c r="D1" s="2"/>
      <c r="E1" s="3"/>
      <c r="F1" s="3"/>
      <c r="G1" s="4"/>
      <c r="H1" s="4"/>
      <c r="I1" s="4"/>
      <c r="J1" s="4"/>
      <c r="K1" s="4"/>
      <c r="L1" s="3"/>
      <c r="M1" s="3"/>
      <c r="N1" s="5"/>
      <c r="O1" s="5"/>
      <c r="P1" s="5"/>
      <c r="Q1" s="5"/>
      <c r="R1" s="4"/>
      <c r="S1" s="3"/>
      <c r="T1" s="4"/>
      <c r="U1" s="4"/>
      <c r="V1" s="3"/>
      <c r="W1" s="3"/>
      <c r="X1" s="4"/>
      <c r="Y1" s="3"/>
      <c r="Z1" s="3"/>
      <c r="AA1" s="3"/>
    </row>
    <row r="2" spans="1:28" ht="18" x14ac:dyDescent="0.25">
      <c r="B2" s="7"/>
      <c r="C2" s="8"/>
      <c r="D2" s="8"/>
      <c r="E2" s="8"/>
      <c r="F2" s="8"/>
      <c r="G2" s="289" t="s">
        <v>820</v>
      </c>
      <c r="H2" s="290"/>
      <c r="I2" s="290"/>
      <c r="J2" s="291"/>
      <c r="K2" s="323" t="s">
        <v>821</v>
      </c>
      <c r="L2" s="290"/>
      <c r="M2" s="290"/>
      <c r="N2" s="291"/>
      <c r="O2"/>
      <c r="P2"/>
      <c r="Q2"/>
      <c r="R2" s="8"/>
      <c r="S2" s="8"/>
      <c r="T2" s="8"/>
      <c r="U2" s="8"/>
      <c r="V2" s="8"/>
      <c r="W2" s="8"/>
      <c r="X2" s="8"/>
      <c r="Y2" s="8"/>
      <c r="Z2" s="8"/>
    </row>
    <row r="3" spans="1:28" s="9" customFormat="1" ht="28.5" customHeight="1" thickBot="1" x14ac:dyDescent="0.3">
      <c r="B3" s="109" t="s">
        <v>819</v>
      </c>
      <c r="C3" s="10"/>
      <c r="D3" s="10"/>
      <c r="G3" s="160" t="s">
        <v>487</v>
      </c>
      <c r="H3" s="134" t="s">
        <v>488</v>
      </c>
      <c r="I3" s="161" t="s">
        <v>489</v>
      </c>
      <c r="J3" s="136"/>
      <c r="K3" s="190" t="s">
        <v>490</v>
      </c>
      <c r="L3" s="134"/>
      <c r="M3" s="161" t="s">
        <v>491</v>
      </c>
      <c r="N3" s="136"/>
      <c r="O3"/>
      <c r="P3"/>
      <c r="Q3"/>
      <c r="R3" s="11"/>
      <c r="T3" s="11"/>
      <c r="U3" s="11"/>
      <c r="X3" s="11"/>
    </row>
    <row r="4" spans="1:28" ht="15" x14ac:dyDescent="0.25">
      <c r="B4" s="12" t="str">
        <f>'Priority Manifest'!B4</f>
        <v>Valid from 1st January 2025</v>
      </c>
      <c r="C4" s="13"/>
      <c r="D4" s="13"/>
      <c r="E4" s="8"/>
      <c r="F4" s="8"/>
      <c r="G4" s="280" t="s">
        <v>492</v>
      </c>
      <c r="H4" s="280"/>
      <c r="I4" s="280"/>
      <c r="J4" s="280"/>
      <c r="K4" s="280"/>
      <c r="L4" s="280"/>
      <c r="M4" s="280"/>
      <c r="N4" s="280"/>
      <c r="O4"/>
      <c r="P4"/>
      <c r="Q4"/>
      <c r="R4" s="8"/>
      <c r="S4" s="8"/>
      <c r="T4" s="8"/>
      <c r="U4" s="8"/>
      <c r="V4" s="8"/>
      <c r="W4" s="8"/>
      <c r="X4" s="8"/>
      <c r="Y4" s="8"/>
      <c r="Z4" s="8"/>
    </row>
    <row r="5" spans="1:28" ht="15.75" thickBot="1" x14ac:dyDescent="0.3">
      <c r="B5" s="14"/>
      <c r="C5" s="13"/>
      <c r="D5" s="13"/>
      <c r="E5" s="8"/>
      <c r="F5" s="8"/>
      <c r="G5" s="8"/>
      <c r="H5" s="8"/>
      <c r="I5" s="8"/>
      <c r="J5" s="8"/>
      <c r="K5" s="8"/>
      <c r="L5" s="8"/>
      <c r="M5" s="8"/>
      <c r="N5" s="8"/>
      <c r="O5"/>
      <c r="P5"/>
      <c r="Q5"/>
      <c r="R5" s="8"/>
      <c r="S5" s="8"/>
      <c r="T5" s="8"/>
      <c r="U5" s="8"/>
      <c r="V5" s="8"/>
      <c r="W5" s="8"/>
      <c r="X5" s="8"/>
      <c r="Y5" s="8"/>
      <c r="Z5" s="8"/>
    </row>
    <row r="6" spans="1:28" ht="14.25" customHeight="1" x14ac:dyDescent="0.25">
      <c r="B6" s="292" t="s">
        <v>0</v>
      </c>
      <c r="C6" s="293"/>
      <c r="D6" s="294"/>
      <c r="E6" s="294"/>
      <c r="F6" s="294"/>
      <c r="G6" s="293" t="s">
        <v>1</v>
      </c>
      <c r="H6" s="293"/>
      <c r="I6" s="294"/>
      <c r="J6" s="294"/>
      <c r="K6" s="294"/>
      <c r="L6" s="293" t="s">
        <v>2</v>
      </c>
      <c r="M6" s="293"/>
      <c r="N6" s="282"/>
      <c r="O6" s="282"/>
      <c r="P6" s="282"/>
      <c r="Q6" s="283"/>
      <c r="R6" s="8"/>
      <c r="S6" s="8"/>
      <c r="T6" s="8"/>
      <c r="U6" s="8"/>
      <c r="V6" s="8"/>
      <c r="W6" s="8"/>
      <c r="X6" s="8"/>
      <c r="Y6" s="8"/>
      <c r="Z6" s="8"/>
    </row>
    <row r="7" spans="1:28" ht="14.25" customHeight="1" thickBot="1" x14ac:dyDescent="0.3">
      <c r="B7" s="297" t="s">
        <v>3</v>
      </c>
      <c r="C7" s="298"/>
      <c r="D7" s="287"/>
      <c r="E7" s="287"/>
      <c r="F7" s="287"/>
      <c r="G7" s="298" t="s">
        <v>4</v>
      </c>
      <c r="H7" s="298"/>
      <c r="I7" s="287"/>
      <c r="J7" s="287"/>
      <c r="K7" s="287"/>
      <c r="L7" s="298" t="s">
        <v>5</v>
      </c>
      <c r="M7" s="298"/>
      <c r="N7" s="273"/>
      <c r="O7" s="273"/>
      <c r="P7" s="273"/>
      <c r="Q7" s="281"/>
      <c r="R7" s="8"/>
      <c r="S7" s="8"/>
      <c r="T7" s="8"/>
      <c r="U7" s="8"/>
      <c r="V7" s="8"/>
      <c r="W7" s="8"/>
      <c r="X7" s="8"/>
      <c r="Y7" s="8"/>
      <c r="Z7" s="8"/>
    </row>
    <row r="8" spans="1:28" ht="14.25" customHeight="1" x14ac:dyDescent="0.25">
      <c r="B8" s="15"/>
      <c r="C8" s="16"/>
      <c r="D8" s="16"/>
      <c r="E8" s="16"/>
      <c r="F8" s="15"/>
      <c r="G8" s="15"/>
      <c r="H8" s="15"/>
      <c r="I8" s="15"/>
      <c r="J8" s="16"/>
      <c r="K8" s="16"/>
      <c r="L8" s="16"/>
      <c r="M8" s="15"/>
      <c r="N8" s="89"/>
      <c r="O8" s="89"/>
      <c r="P8" s="89"/>
      <c r="Q8" s="89"/>
      <c r="R8" s="8"/>
      <c r="S8" s="8"/>
      <c r="T8" s="8"/>
      <c r="U8" s="8"/>
      <c r="V8" s="8"/>
      <c r="W8" s="8"/>
      <c r="X8" s="8"/>
      <c r="Y8" s="8"/>
      <c r="Z8" s="8"/>
    </row>
    <row r="9" spans="1:28" s="19" customFormat="1" ht="14.25" customHeight="1" thickBot="1" x14ac:dyDescent="0.3">
      <c r="B9" s="20"/>
      <c r="C9" s="21" t="s">
        <v>457</v>
      </c>
      <c r="D9" s="21" t="s">
        <v>457</v>
      </c>
      <c r="E9" s="22"/>
      <c r="F9" s="22" t="s">
        <v>457</v>
      </c>
      <c r="G9" s="23" t="s">
        <v>458</v>
      </c>
      <c r="H9" s="21" t="s">
        <v>458</v>
      </c>
      <c r="I9" s="23"/>
      <c r="J9" s="23" t="s">
        <v>458</v>
      </c>
      <c r="K9" s="23"/>
      <c r="L9" s="22"/>
      <c r="M9" s="22"/>
      <c r="N9" s="23"/>
      <c r="O9" s="23"/>
      <c r="P9" s="22"/>
      <c r="Q9" s="22"/>
      <c r="R9" s="23"/>
      <c r="S9" s="22"/>
      <c r="T9" s="23"/>
      <c r="U9" s="23"/>
      <c r="V9" s="22"/>
      <c r="W9" s="22"/>
      <c r="X9" s="23"/>
      <c r="Y9" s="22"/>
      <c r="Z9" s="22"/>
    </row>
    <row r="10" spans="1:28" s="25" customFormat="1" ht="18" x14ac:dyDescent="0.25">
      <c r="A10" s="24"/>
      <c r="B10" s="85"/>
      <c r="C10" s="246" t="s">
        <v>9</v>
      </c>
      <c r="D10" s="247"/>
      <c r="E10" s="248"/>
      <c r="F10"/>
      <c r="G10" s="246" t="s">
        <v>9</v>
      </c>
      <c r="H10" s="247"/>
      <c r="I10" s="248"/>
      <c r="J10"/>
      <c r="K10"/>
      <c r="L10"/>
      <c r="M10"/>
      <c r="N10"/>
      <c r="O10"/>
      <c r="P10"/>
      <c r="Q10"/>
      <c r="R10" s="26"/>
      <c r="S10" s="26"/>
      <c r="T10" s="90"/>
      <c r="U10" s="90"/>
      <c r="V10" s="26"/>
      <c r="W10" s="26"/>
      <c r="X10" s="26"/>
      <c r="Y10" s="26"/>
      <c r="Z10" s="26"/>
      <c r="AA10" s="8"/>
    </row>
    <row r="11" spans="1:28" ht="15.75" customHeight="1" x14ac:dyDescent="0.25">
      <c r="A11" s="27"/>
      <c r="B11" s="25"/>
      <c r="C11" s="259" t="s">
        <v>459</v>
      </c>
      <c r="D11" s="317"/>
      <c r="E11" s="318"/>
      <c r="F11"/>
      <c r="G11" s="259" t="s">
        <v>460</v>
      </c>
      <c r="H11" s="317"/>
      <c r="I11" s="318"/>
      <c r="J11"/>
      <c r="K11"/>
      <c r="L11"/>
      <c r="M11"/>
      <c r="N11"/>
      <c r="O11"/>
      <c r="P11"/>
      <c r="Q11"/>
      <c r="R11" s="28"/>
      <c r="S11" s="28"/>
      <c r="T11" s="31"/>
      <c r="U11"/>
      <c r="V11"/>
      <c r="W11" s="29"/>
      <c r="X11" s="29"/>
      <c r="Y11" s="29"/>
      <c r="Z11" s="29"/>
      <c r="AA11" s="91"/>
    </row>
    <row r="12" spans="1:28" ht="15.75" thickBot="1" x14ac:dyDescent="0.3">
      <c r="A12" s="27"/>
      <c r="B12" s="30"/>
      <c r="C12" s="214" t="s">
        <v>15</v>
      </c>
      <c r="D12" s="215" t="s">
        <v>16</v>
      </c>
      <c r="E12" s="229" t="s">
        <v>17</v>
      </c>
      <c r="F12"/>
      <c r="G12" s="214" t="s">
        <v>15</v>
      </c>
      <c r="H12" s="215" t="s">
        <v>16</v>
      </c>
      <c r="I12" s="229" t="s">
        <v>17</v>
      </c>
      <c r="J12"/>
      <c r="K12"/>
      <c r="L12"/>
      <c r="M12"/>
      <c r="N12"/>
      <c r="O12"/>
      <c r="P12"/>
      <c r="Q12"/>
      <c r="R12" s="31"/>
      <c r="S12" s="32"/>
      <c r="T12" s="32"/>
      <c r="U12"/>
      <c r="V12"/>
      <c r="W12" s="32"/>
      <c r="X12" s="31"/>
      <c r="Y12" s="106" t="s">
        <v>809</v>
      </c>
      <c r="Z12" s="33"/>
    </row>
    <row r="13" spans="1:28" ht="15" x14ac:dyDescent="0.25">
      <c r="A13" s="34" t="s">
        <v>47</v>
      </c>
      <c r="B13" s="191" t="s">
        <v>48</v>
      </c>
      <c r="C13" s="206" t="s">
        <v>816</v>
      </c>
      <c r="D13" s="146"/>
      <c r="E13" s="151"/>
      <c r="F13"/>
      <c r="G13" s="206" t="s">
        <v>816</v>
      </c>
      <c r="H13" s="146"/>
      <c r="I13" s="151"/>
      <c r="J13"/>
      <c r="K13"/>
      <c r="L13"/>
      <c r="M13"/>
      <c r="N13"/>
      <c r="O13"/>
      <c r="P13"/>
      <c r="Q13"/>
      <c r="R13" s="8"/>
      <c r="T13" s="37" t="s">
        <v>47</v>
      </c>
      <c r="U13" t="s">
        <v>47</v>
      </c>
      <c r="W13" s="8"/>
      <c r="X13" s="8"/>
      <c r="Y13" t="s">
        <v>48</v>
      </c>
      <c r="Z13" s="8"/>
      <c r="AB13" s="107" t="str">
        <f t="shared" ref="AB13:AB18" si="0">IF(Y13=B13,"TRUE","FALSE")</f>
        <v>TRUE</v>
      </c>
    </row>
    <row r="14" spans="1:28" ht="15" x14ac:dyDescent="0.25">
      <c r="A14" s="34" t="s">
        <v>49</v>
      </c>
      <c r="B14" s="191" t="s">
        <v>50</v>
      </c>
      <c r="C14" s="206" t="s">
        <v>816</v>
      </c>
      <c r="D14" s="146"/>
      <c r="E14" s="151"/>
      <c r="F14"/>
      <c r="G14" s="206" t="s">
        <v>816</v>
      </c>
      <c r="H14" s="146"/>
      <c r="I14" s="151"/>
      <c r="J14"/>
      <c r="K14"/>
      <c r="L14"/>
      <c r="M14"/>
      <c r="N14"/>
      <c r="O14"/>
      <c r="P14"/>
      <c r="Q14"/>
      <c r="R14" s="8"/>
      <c r="T14" s="37" t="s">
        <v>49</v>
      </c>
      <c r="U14" t="s">
        <v>49</v>
      </c>
      <c r="W14" s="8"/>
      <c r="X14" s="8"/>
      <c r="Y14" t="s">
        <v>50</v>
      </c>
      <c r="Z14" s="8"/>
      <c r="AB14" s="107" t="str">
        <f t="shared" si="0"/>
        <v>TRUE</v>
      </c>
    </row>
    <row r="15" spans="1:28" ht="15" x14ac:dyDescent="0.25">
      <c r="A15" s="34" t="s">
        <v>61</v>
      </c>
      <c r="B15" s="192" t="s">
        <v>62</v>
      </c>
      <c r="C15" s="206" t="s">
        <v>816</v>
      </c>
      <c r="D15" s="146"/>
      <c r="E15" s="151"/>
      <c r="F15"/>
      <c r="G15" s="206" t="s">
        <v>816</v>
      </c>
      <c r="H15" s="146"/>
      <c r="I15" s="151"/>
      <c r="J15"/>
      <c r="K15"/>
      <c r="L15"/>
      <c r="M15"/>
      <c r="N15"/>
      <c r="O15"/>
      <c r="P15"/>
      <c r="Q15"/>
      <c r="R15" s="8"/>
      <c r="T15" s="37" t="s">
        <v>61</v>
      </c>
      <c r="U15" t="s">
        <v>61</v>
      </c>
      <c r="W15" s="8"/>
      <c r="X15" s="8"/>
      <c r="Y15" t="s">
        <v>62</v>
      </c>
      <c r="Z15" s="8"/>
      <c r="AB15" s="107" t="str">
        <f t="shared" si="0"/>
        <v>TRUE</v>
      </c>
    </row>
    <row r="16" spans="1:28" ht="15" hidden="1" x14ac:dyDescent="0.25">
      <c r="A16" s="38" t="s">
        <v>63</v>
      </c>
      <c r="B16" s="192" t="s">
        <v>64</v>
      </c>
      <c r="C16" s="206" t="s">
        <v>816</v>
      </c>
      <c r="D16" s="146"/>
      <c r="E16" s="151"/>
      <c r="F16"/>
      <c r="G16" s="206" t="s">
        <v>816</v>
      </c>
      <c r="H16" s="146"/>
      <c r="I16" s="151"/>
      <c r="J16"/>
      <c r="K16"/>
      <c r="L16"/>
      <c r="M16"/>
      <c r="N16"/>
      <c r="O16"/>
      <c r="P16"/>
      <c r="Q16"/>
      <c r="R16" s="8"/>
      <c r="T16" s="37" t="s">
        <v>63</v>
      </c>
      <c r="U16" t="s">
        <v>63</v>
      </c>
      <c r="W16" s="8"/>
      <c r="X16" s="8"/>
      <c r="Y16" t="s">
        <v>64</v>
      </c>
      <c r="Z16" s="8"/>
      <c r="AB16" s="107" t="str">
        <f t="shared" si="0"/>
        <v>TRUE</v>
      </c>
    </row>
    <row r="17" spans="1:28" ht="15.75" thickBot="1" x14ac:dyDescent="0.3">
      <c r="A17" s="34" t="s">
        <v>65</v>
      </c>
      <c r="B17" s="193" t="s">
        <v>66</v>
      </c>
      <c r="C17" s="206" t="s">
        <v>816</v>
      </c>
      <c r="D17" s="153"/>
      <c r="E17" s="154"/>
      <c r="F17"/>
      <c r="G17" s="206" t="s">
        <v>816</v>
      </c>
      <c r="H17" s="153"/>
      <c r="I17" s="154"/>
      <c r="J17"/>
      <c r="K17"/>
      <c r="L17"/>
      <c r="M17"/>
      <c r="N17"/>
      <c r="O17"/>
      <c r="P17"/>
      <c r="Q17"/>
      <c r="R17" s="8"/>
      <c r="T17" s="37" t="s">
        <v>65</v>
      </c>
      <c r="U17" t="s">
        <v>65</v>
      </c>
      <c r="W17" s="8"/>
      <c r="X17" s="8"/>
      <c r="Y17" t="s">
        <v>66</v>
      </c>
      <c r="Z17" s="8"/>
      <c r="AB17" s="107" t="str">
        <f t="shared" si="0"/>
        <v>TRUE</v>
      </c>
    </row>
    <row r="18" spans="1:28" ht="15.75" hidden="1" thickBot="1" x14ac:dyDescent="0.3">
      <c r="A18" s="38" t="s">
        <v>73</v>
      </c>
      <c r="B18" s="193" t="s">
        <v>461</v>
      </c>
      <c r="C18" s="206" t="s">
        <v>816</v>
      </c>
      <c r="D18" s="153"/>
      <c r="E18" s="154"/>
      <c r="F18"/>
      <c r="G18" s="206" t="s">
        <v>816</v>
      </c>
      <c r="H18" s="153"/>
      <c r="I18" s="154"/>
      <c r="J18"/>
      <c r="K18"/>
      <c r="L18"/>
      <c r="M18"/>
      <c r="N18"/>
      <c r="O18"/>
      <c r="P18"/>
      <c r="Q18"/>
      <c r="R18" s="8"/>
      <c r="T18" s="39" t="s">
        <v>73</v>
      </c>
      <c r="U18" t="s">
        <v>73</v>
      </c>
      <c r="W18" s="8"/>
      <c r="X18" s="8"/>
      <c r="Y18" t="s">
        <v>461</v>
      </c>
      <c r="Z18" s="8"/>
      <c r="AB18" s="107" t="str">
        <f t="shared" si="0"/>
        <v>TRUE</v>
      </c>
    </row>
    <row r="19" spans="1:28" ht="8.25" customHeight="1" x14ac:dyDescent="0.25">
      <c r="A19" s="40"/>
      <c r="B19" s="41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/>
      <c r="V19"/>
      <c r="W19" s="8"/>
      <c r="X19" s="8"/>
      <c r="Z19" s="8"/>
    </row>
    <row r="20" spans="1:28" ht="8.25" customHeight="1" thickBot="1" x14ac:dyDescent="0.3">
      <c r="A20" s="40"/>
      <c r="B20" s="41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/>
      <c r="V20"/>
      <c r="W20" s="8"/>
      <c r="X20" s="8"/>
      <c r="Z20" s="8"/>
    </row>
    <row r="21" spans="1:28" ht="15.75" thickBot="1" x14ac:dyDescent="0.3">
      <c r="A21" s="40"/>
      <c r="B21" s="194" t="s">
        <v>483</v>
      </c>
      <c r="C21" s="166" t="s">
        <v>463</v>
      </c>
      <c r="D21" s="167"/>
      <c r="E21" s="168"/>
      <c r="F21" s="189"/>
      <c r="G21" s="169" t="s">
        <v>463</v>
      </c>
      <c r="H21" s="167"/>
      <c r="I21" s="195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/>
      <c r="V21"/>
      <c r="W21" s="8"/>
      <c r="X21" s="8"/>
      <c r="Y21" t="s">
        <v>483</v>
      </c>
      <c r="Z21" s="8"/>
      <c r="AB21" s="107" t="str">
        <f>IF(Y21=B21,"TRUE","FALSE")</f>
        <v>TRUE</v>
      </c>
    </row>
    <row r="22" spans="1:28" ht="25.5" customHeight="1" x14ac:dyDescent="0.25">
      <c r="B22" s="42"/>
      <c r="C22" s="43"/>
      <c r="D22" s="43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/>
      <c r="V22"/>
      <c r="W22" s="8"/>
      <c r="X22" s="8"/>
      <c r="Z22" s="8"/>
    </row>
    <row r="23" spans="1:28" ht="11.25" customHeight="1" thickBot="1" x14ac:dyDescent="0.3">
      <c r="B23" s="42"/>
      <c r="C23" s="43"/>
      <c r="D23" s="43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/>
      <c r="V23"/>
      <c r="W23" s="8"/>
      <c r="X23" s="8"/>
      <c r="Z23" s="8"/>
    </row>
    <row r="24" spans="1:28" ht="11.25" customHeight="1" thickBot="1" x14ac:dyDescent="0.3">
      <c r="B24" s="196" t="s">
        <v>464</v>
      </c>
      <c r="C24" s="197" t="s">
        <v>465</v>
      </c>
      <c r="D24" s="197" t="s">
        <v>466</v>
      </c>
      <c r="E24" s="319" t="s">
        <v>467</v>
      </c>
      <c r="F24" s="320"/>
      <c r="G24" s="8"/>
      <c r="H24" s="8"/>
      <c r="I24" s="8"/>
      <c r="J24" s="8"/>
      <c r="K24" s="8"/>
      <c r="L24" s="8"/>
      <c r="M24" s="308" t="s">
        <v>74</v>
      </c>
      <c r="N24" s="308"/>
      <c r="O24" s="212" t="s">
        <v>75</v>
      </c>
      <c r="P24" s="213" t="s">
        <v>76</v>
      </c>
      <c r="Q24"/>
      <c r="R24" s="8"/>
      <c r="S24" s="8"/>
      <c r="T24" s="8"/>
      <c r="U24"/>
      <c r="V24"/>
      <c r="W24" s="8"/>
      <c r="X24" s="8"/>
      <c r="Z24" s="8"/>
    </row>
    <row r="25" spans="1:28" ht="23.25" customHeight="1" thickBot="1" x14ac:dyDescent="0.3">
      <c r="B25" s="198" t="s">
        <v>468</v>
      </c>
      <c r="C25" s="199"/>
      <c r="D25" s="199"/>
      <c r="E25" s="321"/>
      <c r="F25" s="322"/>
      <c r="M25" s="309" t="s">
        <v>77</v>
      </c>
      <c r="N25" s="310"/>
      <c r="O25" s="170">
        <f>SUM(D13:D21,H13:H21,D37:D40,H37:H40,D41:D43,H41:H43,D44:D46,H44:H46,D47:D50,H47:H50,D51:D54,H51:H54)</f>
        <v>0</v>
      </c>
      <c r="P25" s="171">
        <f>SUM(E13:E21,I13:I21,E37:E40,I37:I40,E41:E43,I41:I43,E44:E46,I44:I46,E47:E50,I47:I50,E51:E54,I51:I54)</f>
        <v>0</v>
      </c>
      <c r="Q25"/>
      <c r="R25" s="46"/>
      <c r="S25" s="47"/>
      <c r="T25" s="46"/>
      <c r="U25"/>
      <c r="V25"/>
      <c r="W25" s="47"/>
      <c r="X25" s="46"/>
      <c r="Z25" s="47"/>
    </row>
    <row r="26" spans="1:28" ht="16.5" customHeight="1" x14ac:dyDescent="0.25">
      <c r="B26" s="7"/>
      <c r="C26" s="8"/>
      <c r="D26" s="8"/>
      <c r="N26" s="48"/>
      <c r="O26" s="49"/>
      <c r="P26" s="50"/>
      <c r="Q26" s="51"/>
      <c r="R26" s="46"/>
      <c r="S26" s="47"/>
      <c r="T26" s="46"/>
      <c r="U26"/>
      <c r="V26"/>
      <c r="W26" s="47"/>
      <c r="X26" s="46"/>
      <c r="Z26" s="47"/>
    </row>
    <row r="27" spans="1:28" ht="23.25" customHeight="1" x14ac:dyDescent="0.25">
      <c r="B27" s="7"/>
      <c r="C27" s="8"/>
      <c r="D27" s="8"/>
      <c r="N27" s="48"/>
      <c r="O27" s="49"/>
      <c r="P27" s="50"/>
      <c r="Q27" s="51"/>
      <c r="R27" s="46"/>
      <c r="S27" s="47"/>
      <c r="T27" s="46"/>
      <c r="U27"/>
      <c r="V27"/>
      <c r="W27" s="47"/>
      <c r="X27" s="46"/>
      <c r="Z27" s="47"/>
    </row>
    <row r="28" spans="1:28" ht="23.25" customHeight="1" x14ac:dyDescent="0.25">
      <c r="B28" s="52"/>
      <c r="C28" s="8"/>
      <c r="D28" s="8"/>
      <c r="N28" s="48"/>
      <c r="O28" s="49"/>
      <c r="P28" s="50"/>
      <c r="Q28" s="51"/>
      <c r="R28" s="46"/>
      <c r="S28" s="47"/>
      <c r="T28" s="46"/>
      <c r="U28"/>
      <c r="V28"/>
      <c r="W28" s="47"/>
      <c r="X28" s="46"/>
      <c r="Z28" s="47"/>
    </row>
    <row r="29" spans="1:28" s="9" customFormat="1" ht="27.75" customHeight="1" x14ac:dyDescent="0.25">
      <c r="B29" s="109" t="s">
        <v>819</v>
      </c>
      <c r="C29" s="10"/>
      <c r="D29" s="10"/>
      <c r="G29" s="11"/>
      <c r="H29" s="11"/>
      <c r="I29" s="11"/>
      <c r="J29" s="11"/>
      <c r="K29" s="11"/>
      <c r="N29"/>
      <c r="O29"/>
      <c r="P29"/>
      <c r="Q29"/>
      <c r="R29" s="11"/>
      <c r="T29" s="11"/>
      <c r="U29"/>
      <c r="V29"/>
      <c r="X29" s="11"/>
    </row>
    <row r="30" spans="1:28" ht="15" x14ac:dyDescent="0.25">
      <c r="B30" s="12" t="str">
        <f>$B$4</f>
        <v>Valid from 1st January 2025</v>
      </c>
      <c r="C30" s="13"/>
      <c r="D30" s="13"/>
      <c r="E30" s="8"/>
      <c r="F30" s="8"/>
      <c r="G30" s="8"/>
      <c r="H30" s="8"/>
      <c r="I30" s="8"/>
      <c r="J30" s="8"/>
      <c r="K30" s="8"/>
      <c r="L30" s="8"/>
      <c r="M30" s="8"/>
      <c r="N30"/>
      <c r="O30"/>
      <c r="P30"/>
      <c r="Q30"/>
      <c r="R30" s="8"/>
      <c r="S30" s="8"/>
      <c r="T30" s="8"/>
      <c r="U30"/>
      <c r="V30"/>
      <c r="W30" s="8"/>
      <c r="X30" s="8"/>
      <c r="Z30" s="8"/>
    </row>
    <row r="31" spans="1:28" ht="15.75" thickBot="1" x14ac:dyDescent="0.3">
      <c r="B31" s="14"/>
      <c r="C31" s="13"/>
      <c r="D31" s="13"/>
      <c r="E31" s="8"/>
      <c r="F31" s="8"/>
      <c r="G31" s="8"/>
      <c r="H31" s="8"/>
      <c r="I31" s="8"/>
      <c r="J31" s="8"/>
      <c r="K31" s="8"/>
      <c r="L31" s="8"/>
      <c r="M31" s="8"/>
      <c r="N31"/>
      <c r="O31"/>
      <c r="P31"/>
      <c r="Q31"/>
      <c r="R31" s="8"/>
      <c r="S31" s="8"/>
      <c r="T31" s="8"/>
      <c r="U31"/>
      <c r="V31"/>
      <c r="W31" s="8"/>
      <c r="X31" s="8"/>
      <c r="Z31" s="8"/>
    </row>
    <row r="32" spans="1:28" ht="14.25" customHeight="1" thickBot="1" x14ac:dyDescent="0.3">
      <c r="B32" s="311" t="s">
        <v>0</v>
      </c>
      <c r="C32" s="312"/>
      <c r="D32" s="306" t="str">
        <f>IF($D$6=0,"",$D$6)</f>
        <v/>
      </c>
      <c r="E32" s="306"/>
      <c r="F32" s="306"/>
      <c r="G32" s="312" t="s">
        <v>3</v>
      </c>
      <c r="H32" s="312"/>
      <c r="I32" s="306" t="str">
        <f>IF($D$7=0,"",$D$7)</f>
        <v/>
      </c>
      <c r="J32" s="306"/>
      <c r="K32" s="306"/>
      <c r="L32" s="312" t="s">
        <v>2</v>
      </c>
      <c r="M32" s="312"/>
      <c r="N32" s="305" t="str">
        <f>IF($N$6=0,"",$N$6)</f>
        <v/>
      </c>
      <c r="O32" s="306"/>
      <c r="P32" s="306"/>
      <c r="Q32" s="307"/>
      <c r="R32" s="8"/>
      <c r="S32" s="8"/>
      <c r="T32" s="8"/>
      <c r="U32"/>
      <c r="V32"/>
      <c r="W32" s="8"/>
      <c r="X32" s="8"/>
      <c r="Z32" s="8"/>
    </row>
    <row r="33" spans="2:29" s="19" customFormat="1" ht="14.25" customHeight="1" thickBot="1" x14ac:dyDescent="0.3">
      <c r="B33" s="92"/>
      <c r="C33" s="93"/>
      <c r="D33" s="93"/>
      <c r="E33" s="93"/>
      <c r="F33" s="94" t="s">
        <v>457</v>
      </c>
      <c r="G33" s="92"/>
      <c r="H33" s="92"/>
      <c r="I33" s="92"/>
      <c r="J33" s="93" t="s">
        <v>458</v>
      </c>
      <c r="K33" s="93"/>
      <c r="L33" s="93"/>
      <c r="M33" s="92"/>
      <c r="N33" s="95"/>
      <c r="O33" s="95"/>
      <c r="P33" s="95"/>
      <c r="Q33" s="95"/>
      <c r="R33" s="76"/>
      <c r="S33" s="76"/>
      <c r="T33" s="76"/>
      <c r="U33"/>
      <c r="V33"/>
      <c r="W33" s="76"/>
      <c r="X33" s="76"/>
      <c r="Z33" s="76"/>
    </row>
    <row r="34" spans="2:29" ht="18" x14ac:dyDescent="0.25">
      <c r="B34" s="85"/>
      <c r="C34" s="314" t="s">
        <v>9</v>
      </c>
      <c r="D34" s="315"/>
      <c r="E34" s="316"/>
      <c r="F34"/>
      <c r="G34" s="314" t="s">
        <v>9</v>
      </c>
      <c r="H34" s="315"/>
      <c r="I34" s="316"/>
      <c r="J34"/>
      <c r="K34" s="85"/>
      <c r="L34" s="85"/>
      <c r="M34" s="86"/>
      <c r="N34" s="87"/>
      <c r="O34" s="87"/>
      <c r="P34" s="86"/>
      <c r="Q34" s="86"/>
      <c r="R34" s="87"/>
      <c r="S34" s="86"/>
      <c r="T34" s="87"/>
      <c r="U34"/>
      <c r="V34"/>
      <c r="W34" s="86"/>
      <c r="X34" s="87"/>
      <c r="Z34" s="86"/>
    </row>
    <row r="35" spans="2:29" ht="15" customHeight="1" x14ac:dyDescent="0.25">
      <c r="B35" s="25"/>
      <c r="C35" s="259" t="s">
        <v>459</v>
      </c>
      <c r="D35" s="317"/>
      <c r="E35" s="318"/>
      <c r="F35" s="189"/>
      <c r="G35" s="256" t="s">
        <v>460</v>
      </c>
      <c r="H35" s="317"/>
      <c r="I35" s="318"/>
      <c r="J35"/>
      <c r="K35"/>
      <c r="L35"/>
      <c r="M35"/>
      <c r="N35" s="313"/>
      <c r="O35" s="313"/>
      <c r="P35" s="313"/>
      <c r="Q35" s="313"/>
      <c r="R35" s="26"/>
      <c r="S35" s="26"/>
      <c r="T35" s="90"/>
      <c r="U35"/>
      <c r="V35"/>
      <c r="W35" s="64"/>
      <c r="X35" s="64"/>
      <c r="Z35" s="64"/>
    </row>
    <row r="36" spans="2:29" ht="14.25" customHeight="1" thickBot="1" x14ac:dyDescent="0.3">
      <c r="B36" s="30"/>
      <c r="C36" s="224" t="s">
        <v>15</v>
      </c>
      <c r="D36" s="210" t="s">
        <v>16</v>
      </c>
      <c r="E36" s="230" t="s">
        <v>17</v>
      </c>
      <c r="F36" s="189"/>
      <c r="G36" s="214" t="s">
        <v>15</v>
      </c>
      <c r="H36" s="215" t="s">
        <v>16</v>
      </c>
      <c r="I36" s="229" t="s">
        <v>17</v>
      </c>
      <c r="J36"/>
      <c r="K36"/>
      <c r="L36"/>
      <c r="M36"/>
      <c r="N36"/>
      <c r="O36"/>
      <c r="P36"/>
      <c r="Q36"/>
      <c r="R36" s="31"/>
      <c r="S36" s="32"/>
      <c r="T36" s="32"/>
      <c r="U36"/>
      <c r="V36"/>
      <c r="W36" s="32"/>
      <c r="X36" s="31"/>
      <c r="Z36" s="33"/>
      <c r="AA36" s="65"/>
      <c r="AB36" s="66"/>
      <c r="AC36" s="47"/>
    </row>
    <row r="37" spans="2:29" ht="14.25" customHeight="1" x14ac:dyDescent="0.25">
      <c r="B37" s="119" t="s">
        <v>146</v>
      </c>
      <c r="C37" s="206" t="s">
        <v>816</v>
      </c>
      <c r="D37" s="146"/>
      <c r="E37" s="151"/>
      <c r="F37"/>
      <c r="G37" s="206" t="s">
        <v>816</v>
      </c>
      <c r="H37" s="146"/>
      <c r="I37" s="151"/>
      <c r="J37"/>
      <c r="K37"/>
      <c r="L37"/>
      <c r="M37"/>
      <c r="N37"/>
      <c r="O37"/>
      <c r="P37"/>
      <c r="Q37"/>
      <c r="R37" s="8"/>
      <c r="S37" s="8"/>
      <c r="T37" s="69" t="s">
        <v>148</v>
      </c>
      <c r="U37" t="s">
        <v>453</v>
      </c>
      <c r="V37"/>
      <c r="W37" s="8"/>
      <c r="X37" s="8"/>
      <c r="Y37" t="s">
        <v>146</v>
      </c>
      <c r="Z37" s="8"/>
      <c r="AA37" s="45"/>
      <c r="AB37" s="107" t="str">
        <f t="shared" ref="AB37:AB40" si="1">IF(Y37=B37,"TRUE","FALSE")</f>
        <v>TRUE</v>
      </c>
    </row>
    <row r="38" spans="2:29" ht="14.25" customHeight="1" x14ac:dyDescent="0.25">
      <c r="B38" s="158" t="s">
        <v>182</v>
      </c>
      <c r="C38" s="206" t="s">
        <v>816</v>
      </c>
      <c r="D38" s="146"/>
      <c r="E38" s="151"/>
      <c r="F38"/>
      <c r="G38" s="206" t="s">
        <v>816</v>
      </c>
      <c r="H38" s="146"/>
      <c r="I38" s="151"/>
      <c r="J38"/>
      <c r="K38" s="8"/>
      <c r="L38"/>
      <c r="M38"/>
      <c r="N38"/>
      <c r="O38"/>
      <c r="P38"/>
      <c r="Q38"/>
      <c r="R38" s="8"/>
      <c r="S38" s="8"/>
      <c r="T38" s="69" t="s">
        <v>83</v>
      </c>
      <c r="U38" t="s">
        <v>453</v>
      </c>
      <c r="V38"/>
      <c r="W38" s="45"/>
      <c r="X38" s="6"/>
      <c r="Y38" t="s">
        <v>182</v>
      </c>
      <c r="Z38" s="45"/>
      <c r="AB38" s="107" t="str">
        <f t="shared" si="1"/>
        <v>TRUE</v>
      </c>
    </row>
    <row r="39" spans="2:29" ht="14.25" customHeight="1" x14ac:dyDescent="0.25">
      <c r="B39" s="158" t="s">
        <v>123</v>
      </c>
      <c r="C39" s="206" t="s">
        <v>816</v>
      </c>
      <c r="D39" s="146"/>
      <c r="E39" s="151"/>
      <c r="F39"/>
      <c r="G39" s="206" t="s">
        <v>816</v>
      </c>
      <c r="H39" s="146"/>
      <c r="I39" s="151"/>
      <c r="J39"/>
      <c r="K39" s="8"/>
      <c r="L39"/>
      <c r="M39"/>
      <c r="N39"/>
      <c r="O39"/>
      <c r="P39"/>
      <c r="Q39"/>
      <c r="R39" s="8"/>
      <c r="S39" s="8"/>
      <c r="T39" s="69" t="s">
        <v>137</v>
      </c>
      <c r="U39" t="s">
        <v>453</v>
      </c>
      <c r="V39"/>
      <c r="W39" s="45"/>
      <c r="X39" s="6"/>
      <c r="Y39" t="s">
        <v>123</v>
      </c>
      <c r="Z39" s="45"/>
      <c r="AB39" s="107" t="str">
        <f t="shared" si="1"/>
        <v>TRUE</v>
      </c>
    </row>
    <row r="40" spans="2:29" ht="14.25" customHeight="1" x14ac:dyDescent="0.25">
      <c r="B40" s="158" t="s">
        <v>86</v>
      </c>
      <c r="C40" s="206" t="s">
        <v>816</v>
      </c>
      <c r="D40" s="146"/>
      <c r="E40" s="151"/>
      <c r="F40"/>
      <c r="G40" s="206" t="s">
        <v>816</v>
      </c>
      <c r="H40" s="146"/>
      <c r="I40" s="151"/>
      <c r="J40"/>
      <c r="K40" s="8"/>
      <c r="L40"/>
      <c r="M40"/>
      <c r="N40"/>
      <c r="O40"/>
      <c r="P40"/>
      <c r="Q40"/>
      <c r="R40" s="8"/>
      <c r="S40" s="8"/>
      <c r="T40" s="69" t="s">
        <v>165</v>
      </c>
      <c r="U40" t="str">
        <f>INDEX('Country Code LU'!$B$2:$B$250,MATCH($B40,'Country Code LU'!$A$2:$A$250,0))</f>
        <v>CN</v>
      </c>
      <c r="V40"/>
      <c r="W40" s="45"/>
      <c r="X40" s="6"/>
      <c r="Y40" t="s">
        <v>86</v>
      </c>
      <c r="Z40" s="45"/>
      <c r="AB40" s="107" t="str">
        <f t="shared" si="1"/>
        <v>TRUE</v>
      </c>
    </row>
    <row r="41" spans="2:29" ht="15" x14ac:dyDescent="0.25">
      <c r="B41" s="119" t="s">
        <v>179</v>
      </c>
      <c r="C41" s="206" t="s">
        <v>816</v>
      </c>
      <c r="D41" s="146"/>
      <c r="E41" s="151"/>
      <c r="F41"/>
      <c r="G41" s="206" t="s">
        <v>816</v>
      </c>
      <c r="H41" s="146"/>
      <c r="I41" s="151"/>
      <c r="J41"/>
      <c r="K41"/>
      <c r="L41"/>
      <c r="M41"/>
      <c r="N41"/>
      <c r="O41"/>
      <c r="P41"/>
      <c r="Q41"/>
      <c r="R41" s="8"/>
      <c r="S41" s="8"/>
      <c r="T41" s="37" t="s">
        <v>181</v>
      </c>
      <c r="U41" t="s">
        <v>453</v>
      </c>
      <c r="V41"/>
      <c r="W41" s="8"/>
      <c r="X41" s="8"/>
      <c r="Y41" t="s">
        <v>179</v>
      </c>
      <c r="Z41" s="8"/>
      <c r="AA41" s="46"/>
      <c r="AB41" s="107" t="str">
        <f t="shared" ref="AB41:AB43" si="2">IF(Y41=B41,"TRUE","FALSE")</f>
        <v>TRUE</v>
      </c>
      <c r="AC41" s="70"/>
    </row>
    <row r="42" spans="2:29" ht="14.25" customHeight="1" x14ac:dyDescent="0.25">
      <c r="B42" s="119" t="s">
        <v>210</v>
      </c>
      <c r="C42" s="206" t="s">
        <v>816</v>
      </c>
      <c r="D42" s="146"/>
      <c r="E42" s="151"/>
      <c r="F42"/>
      <c r="G42" s="206" t="s">
        <v>816</v>
      </c>
      <c r="H42" s="146"/>
      <c r="I42" s="151"/>
      <c r="J42"/>
      <c r="K42"/>
      <c r="L42"/>
      <c r="M42"/>
      <c r="N42"/>
      <c r="O42"/>
      <c r="P42"/>
      <c r="Q42"/>
      <c r="R42" s="8"/>
      <c r="S42" s="8"/>
      <c r="T42" s="37" t="s">
        <v>212</v>
      </c>
      <c r="U42" t="s">
        <v>453</v>
      </c>
      <c r="V42"/>
      <c r="W42" s="8"/>
      <c r="X42" s="8"/>
      <c r="Y42" t="s">
        <v>210</v>
      </c>
      <c r="Z42" s="8"/>
      <c r="AA42" s="45"/>
      <c r="AB42" s="107" t="str">
        <f t="shared" si="2"/>
        <v>TRUE</v>
      </c>
    </row>
    <row r="43" spans="2:29" ht="14.25" customHeight="1" x14ac:dyDescent="0.25">
      <c r="B43" s="119" t="s">
        <v>225</v>
      </c>
      <c r="C43" s="206" t="s">
        <v>816</v>
      </c>
      <c r="D43" s="146"/>
      <c r="E43" s="151"/>
      <c r="F43"/>
      <c r="G43" s="206" t="s">
        <v>816</v>
      </c>
      <c r="H43" s="146"/>
      <c r="I43" s="151"/>
      <c r="J43"/>
      <c r="K43"/>
      <c r="L43"/>
      <c r="M43"/>
      <c r="N43"/>
      <c r="O43"/>
      <c r="P43"/>
      <c r="Q43"/>
      <c r="R43" s="8"/>
      <c r="S43" s="8"/>
      <c r="T43" s="37" t="s">
        <v>227</v>
      </c>
      <c r="U43" t="s">
        <v>453</v>
      </c>
      <c r="V43"/>
      <c r="Y43" t="s">
        <v>225</v>
      </c>
      <c r="AB43" s="107" t="str">
        <f t="shared" si="2"/>
        <v>TRUE</v>
      </c>
    </row>
    <row r="44" spans="2:29" ht="15" x14ac:dyDescent="0.25">
      <c r="B44" s="119" t="s">
        <v>90</v>
      </c>
      <c r="C44" s="206" t="s">
        <v>816</v>
      </c>
      <c r="D44" s="146"/>
      <c r="E44" s="151"/>
      <c r="F44"/>
      <c r="G44" s="206" t="s">
        <v>816</v>
      </c>
      <c r="H44" s="146"/>
      <c r="I44" s="151"/>
      <c r="J44"/>
      <c r="K44"/>
      <c r="L44"/>
      <c r="M44"/>
      <c r="N44"/>
      <c r="O44"/>
      <c r="P44"/>
      <c r="Q44"/>
      <c r="R44" s="8"/>
      <c r="S44" s="8"/>
      <c r="T44" s="37" t="s">
        <v>324</v>
      </c>
      <c r="U44" t="str">
        <f>INDEX('Country Code LU'!$B$2:$B$250,MATCH($B44,'Country Code LU'!$A$2:$A$250,0))</f>
        <v>IL</v>
      </c>
      <c r="V44"/>
      <c r="W44" s="8"/>
      <c r="X44" s="8"/>
      <c r="Y44" t="s">
        <v>90</v>
      </c>
      <c r="Z44" s="8"/>
      <c r="AA44" s="67"/>
      <c r="AB44" s="107" t="str">
        <f t="shared" ref="AB44:AB46" si="3">IF(Y44=B44,"TRUE","FALSE")</f>
        <v>TRUE</v>
      </c>
      <c r="AC44" s="47"/>
    </row>
    <row r="45" spans="2:29" ht="14.25" customHeight="1" x14ac:dyDescent="0.25">
      <c r="B45" s="119" t="s">
        <v>330</v>
      </c>
      <c r="C45" s="206" t="s">
        <v>816</v>
      </c>
      <c r="D45" s="146"/>
      <c r="E45" s="151"/>
      <c r="F45"/>
      <c r="G45" s="206" t="s">
        <v>816</v>
      </c>
      <c r="H45" s="146"/>
      <c r="I45" s="151"/>
      <c r="J45"/>
      <c r="K45"/>
      <c r="L45"/>
      <c r="M45"/>
      <c r="N45"/>
      <c r="O45"/>
      <c r="P45"/>
      <c r="Q45"/>
      <c r="R45" s="8"/>
      <c r="S45" s="8"/>
      <c r="T45" s="37" t="s">
        <v>336</v>
      </c>
      <c r="U45" t="s">
        <v>453</v>
      </c>
      <c r="V45"/>
      <c r="W45" s="8"/>
      <c r="X45" s="8"/>
      <c r="Y45" t="s">
        <v>330</v>
      </c>
      <c r="Z45" s="8"/>
      <c r="AA45" s="45"/>
      <c r="AB45" s="107" t="str">
        <f t="shared" si="3"/>
        <v>TRUE</v>
      </c>
    </row>
    <row r="46" spans="2:29" ht="14.25" customHeight="1" x14ac:dyDescent="0.25">
      <c r="B46" s="158" t="s">
        <v>219</v>
      </c>
      <c r="C46" s="206" t="s">
        <v>816</v>
      </c>
      <c r="D46" s="146"/>
      <c r="E46" s="151"/>
      <c r="F46"/>
      <c r="G46" s="206" t="s">
        <v>816</v>
      </c>
      <c r="H46" s="146"/>
      <c r="I46" s="151"/>
      <c r="J46"/>
      <c r="K46" s="8"/>
      <c r="L46"/>
      <c r="M46"/>
      <c r="N46"/>
      <c r="O46"/>
      <c r="P46"/>
      <c r="Q46"/>
      <c r="R46" s="8"/>
      <c r="S46" s="8"/>
      <c r="T46" s="37" t="s">
        <v>236</v>
      </c>
      <c r="U46" t="s">
        <v>453</v>
      </c>
      <c r="V46"/>
      <c r="W46" s="45"/>
      <c r="X46" s="6"/>
      <c r="Y46" t="s">
        <v>219</v>
      </c>
      <c r="Z46" s="45"/>
      <c r="AB46" s="107" t="str">
        <f t="shared" si="3"/>
        <v>TRUE</v>
      </c>
    </row>
    <row r="47" spans="2:29" ht="15" x14ac:dyDescent="0.25">
      <c r="B47" s="119" t="s">
        <v>94</v>
      </c>
      <c r="C47" s="206" t="s">
        <v>816</v>
      </c>
      <c r="D47" s="146"/>
      <c r="E47" s="151"/>
      <c r="F47"/>
      <c r="G47" s="206" t="s">
        <v>816</v>
      </c>
      <c r="H47" s="146"/>
      <c r="I47" s="151"/>
      <c r="J47"/>
      <c r="K47"/>
      <c r="L47"/>
      <c r="M47"/>
      <c r="N47"/>
      <c r="O47"/>
      <c r="P47"/>
      <c r="Q47"/>
      <c r="R47" s="8"/>
      <c r="S47" s="8"/>
      <c r="T47" s="37"/>
      <c r="U47" t="str">
        <f>INDEX('Country Code LU'!$B$2:$B$250,MATCH($B47,'Country Code LU'!$A$2:$A$250,0))</f>
        <v>NZ</v>
      </c>
      <c r="V47"/>
      <c r="W47" s="8"/>
      <c r="X47" s="8"/>
      <c r="Y47" t="s">
        <v>94</v>
      </c>
      <c r="Z47" s="8"/>
      <c r="AA47" s="67"/>
      <c r="AB47" s="107" t="str">
        <f t="shared" ref="AB47:AB50" si="4">IF(Y47=B47,"TRUE","FALSE")</f>
        <v>TRUE</v>
      </c>
      <c r="AC47" s="47"/>
    </row>
    <row r="48" spans="2:29" ht="14.25" customHeight="1" x14ac:dyDescent="0.25">
      <c r="B48" s="119" t="s">
        <v>357</v>
      </c>
      <c r="C48" s="206" t="s">
        <v>816</v>
      </c>
      <c r="D48" s="146"/>
      <c r="E48" s="151"/>
      <c r="F48"/>
      <c r="G48" s="206" t="s">
        <v>816</v>
      </c>
      <c r="H48" s="146"/>
      <c r="I48" s="151"/>
      <c r="J48"/>
      <c r="K48"/>
      <c r="L48"/>
      <c r="M48"/>
      <c r="N48"/>
      <c r="O48"/>
      <c r="P48"/>
      <c r="Q48"/>
      <c r="R48" s="8"/>
      <c r="S48" s="8"/>
      <c r="T48" s="37" t="s">
        <v>352</v>
      </c>
      <c r="U48" t="s">
        <v>453</v>
      </c>
      <c r="V48"/>
      <c r="W48" s="8"/>
      <c r="X48" s="8"/>
      <c r="Y48" t="s">
        <v>357</v>
      </c>
      <c r="Z48" s="8"/>
      <c r="AA48" s="45"/>
      <c r="AB48" s="107" t="str">
        <f t="shared" si="4"/>
        <v>TRUE</v>
      </c>
    </row>
    <row r="49" spans="2:29" ht="14.25" customHeight="1" x14ac:dyDescent="0.25">
      <c r="B49" s="158" t="s">
        <v>436</v>
      </c>
      <c r="C49" s="206" t="s">
        <v>816</v>
      </c>
      <c r="D49" s="146"/>
      <c r="E49" s="151"/>
      <c r="F49"/>
      <c r="G49" s="206" t="s">
        <v>816</v>
      </c>
      <c r="H49" s="146"/>
      <c r="I49" s="151"/>
      <c r="J49"/>
      <c r="K49" s="8"/>
      <c r="L49"/>
      <c r="M49"/>
      <c r="N49"/>
      <c r="O49"/>
      <c r="P49"/>
      <c r="Q49"/>
      <c r="R49" s="8"/>
      <c r="S49" s="8"/>
      <c r="T49" s="37" t="s">
        <v>435</v>
      </c>
      <c r="U49" t="s">
        <v>453</v>
      </c>
      <c r="V49"/>
      <c r="W49" s="45"/>
      <c r="X49" s="6"/>
      <c r="Y49" t="s">
        <v>436</v>
      </c>
      <c r="Z49" s="45"/>
      <c r="AB49" s="107" t="str">
        <f t="shared" si="4"/>
        <v>TRUE</v>
      </c>
    </row>
    <row r="50" spans="2:29" ht="14.25" customHeight="1" x14ac:dyDescent="0.25">
      <c r="B50" s="158" t="s">
        <v>98</v>
      </c>
      <c r="C50" s="206" t="s">
        <v>816</v>
      </c>
      <c r="D50" s="146"/>
      <c r="E50" s="151"/>
      <c r="F50"/>
      <c r="G50" s="206" t="s">
        <v>816</v>
      </c>
      <c r="H50" s="146"/>
      <c r="I50" s="151"/>
      <c r="J50"/>
      <c r="K50" s="8"/>
      <c r="L50"/>
      <c r="M50"/>
      <c r="N50"/>
      <c r="O50"/>
      <c r="P50"/>
      <c r="Q50"/>
      <c r="R50" s="8"/>
      <c r="S50" s="8"/>
      <c r="T50" s="37" t="s">
        <v>443</v>
      </c>
      <c r="U50" t="str">
        <f>INDEX('Country Code LU'!$B$2:$B$250,MATCH($B50,'Country Code LU'!$A$2:$A$250,0))</f>
        <v>SG</v>
      </c>
      <c r="V50"/>
      <c r="W50" s="45"/>
      <c r="X50" s="6"/>
      <c r="Y50" t="s">
        <v>98</v>
      </c>
      <c r="Z50" s="45"/>
      <c r="AB50" s="107" t="str">
        <f t="shared" si="4"/>
        <v>TRUE</v>
      </c>
    </row>
    <row r="51" spans="2:29" ht="15" hidden="1" x14ac:dyDescent="0.25">
      <c r="B51" s="119" t="s">
        <v>102</v>
      </c>
      <c r="C51" s="206" t="s">
        <v>816</v>
      </c>
      <c r="D51" s="146"/>
      <c r="E51" s="151"/>
      <c r="F51"/>
      <c r="G51" s="206" t="s">
        <v>816</v>
      </c>
      <c r="H51" s="146"/>
      <c r="I51" s="151"/>
      <c r="J51"/>
      <c r="K51"/>
      <c r="L51"/>
      <c r="M51"/>
      <c r="N51"/>
      <c r="O51"/>
      <c r="P51"/>
      <c r="Q51"/>
      <c r="R51" s="8"/>
      <c r="S51" s="8"/>
      <c r="T51" s="69"/>
      <c r="U51" t="s">
        <v>453</v>
      </c>
      <c r="V51"/>
      <c r="W51" s="8"/>
      <c r="X51" s="8"/>
      <c r="Y51" t="s">
        <v>102</v>
      </c>
      <c r="Z51" s="8"/>
      <c r="AA51" s="67"/>
      <c r="AB51" s="107" t="str">
        <f t="shared" ref="AB51:AB54" si="5">IF(Y51=B51,"TRUE","FALSE")</f>
        <v>TRUE</v>
      </c>
      <c r="AC51" s="47"/>
    </row>
    <row r="52" spans="2:29" ht="15" x14ac:dyDescent="0.25">
      <c r="B52" s="119" t="s">
        <v>362</v>
      </c>
      <c r="C52" s="206" t="s">
        <v>816</v>
      </c>
      <c r="D52" s="146"/>
      <c r="E52" s="151"/>
      <c r="F52"/>
      <c r="G52" s="206" t="s">
        <v>816</v>
      </c>
      <c r="H52" s="146"/>
      <c r="I52" s="151"/>
      <c r="J52"/>
      <c r="K52"/>
      <c r="L52"/>
      <c r="M52"/>
      <c r="N52"/>
      <c r="O52"/>
      <c r="P52"/>
      <c r="Q52"/>
      <c r="R52" s="8"/>
      <c r="S52" s="8"/>
      <c r="T52" s="69"/>
      <c r="U52" t="str">
        <f>INDEX('Country Code LU'!$B$2:$B$250,MATCH($B52,'Country Code LU'!$A$2:$A$250,0))</f>
        <v>TH</v>
      </c>
      <c r="V52"/>
      <c r="W52" s="8"/>
      <c r="X52" s="8"/>
      <c r="Y52" t="s">
        <v>362</v>
      </c>
      <c r="Z52" s="8"/>
      <c r="AA52" s="67"/>
      <c r="AB52" s="107" t="str">
        <f t="shared" si="5"/>
        <v>TRUE</v>
      </c>
      <c r="AC52" s="47"/>
    </row>
    <row r="53" spans="2:29" ht="14.25" customHeight="1" x14ac:dyDescent="0.25">
      <c r="B53" s="119" t="s">
        <v>386</v>
      </c>
      <c r="C53" s="206" t="s">
        <v>816</v>
      </c>
      <c r="D53" s="146"/>
      <c r="E53" s="151"/>
      <c r="F53"/>
      <c r="G53" s="206" t="s">
        <v>816</v>
      </c>
      <c r="H53" s="146"/>
      <c r="I53" s="151"/>
      <c r="J53"/>
      <c r="K53"/>
      <c r="L53"/>
      <c r="M53"/>
      <c r="N53"/>
      <c r="O53"/>
      <c r="P53"/>
      <c r="Q53"/>
      <c r="R53" s="8"/>
      <c r="S53" s="8"/>
      <c r="T53" s="69" t="s">
        <v>103</v>
      </c>
      <c r="U53" t="str">
        <f>INDEX('Country Code LU'!$B$2:$B$250,MATCH($B53,'Country Code LU'!$A$2:$A$250,0))</f>
        <v>TR</v>
      </c>
      <c r="V53"/>
      <c r="W53" s="8"/>
      <c r="X53" s="8"/>
      <c r="Y53" t="s">
        <v>386</v>
      </c>
      <c r="Z53" s="8"/>
      <c r="AA53" s="45"/>
      <c r="AB53" s="107" t="str">
        <f t="shared" si="5"/>
        <v>TRUE</v>
      </c>
    </row>
    <row r="54" spans="2:29" ht="14.25" customHeight="1" x14ac:dyDescent="0.25">
      <c r="B54" s="119" t="s">
        <v>417</v>
      </c>
      <c r="C54" s="206" t="s">
        <v>816</v>
      </c>
      <c r="D54" s="146"/>
      <c r="E54" s="151"/>
      <c r="F54"/>
      <c r="G54" s="206" t="s">
        <v>816</v>
      </c>
      <c r="H54" s="146"/>
      <c r="I54" s="151"/>
      <c r="J54"/>
      <c r="K54"/>
      <c r="L54"/>
      <c r="M54"/>
      <c r="N54"/>
      <c r="O54"/>
      <c r="P54"/>
      <c r="Q54"/>
      <c r="R54" s="8"/>
      <c r="S54" s="8"/>
      <c r="T54" s="69" t="s">
        <v>388</v>
      </c>
      <c r="U54" t="s">
        <v>453</v>
      </c>
      <c r="V54"/>
      <c r="W54" s="45"/>
      <c r="X54" s="6"/>
      <c r="Y54" t="s">
        <v>417</v>
      </c>
      <c r="AB54" s="107" t="str">
        <f t="shared" si="5"/>
        <v>TRUE</v>
      </c>
    </row>
    <row r="55" spans="2:29" ht="14.25" customHeight="1" x14ac:dyDescent="0.25">
      <c r="B55"/>
      <c r="C55"/>
      <c r="D55"/>
      <c r="E55"/>
      <c r="F55"/>
      <c r="G55"/>
      <c r="H55"/>
      <c r="I55"/>
      <c r="J55"/>
      <c r="K55" s="8"/>
      <c r="L55"/>
      <c r="M55"/>
      <c r="N55"/>
      <c r="O55"/>
      <c r="P55"/>
      <c r="Q55"/>
      <c r="R55" s="8"/>
      <c r="S55" s="8"/>
      <c r="T55" s="97"/>
      <c r="U55"/>
      <c r="V55" s="8"/>
      <c r="W55" s="45"/>
      <c r="X55" s="6"/>
      <c r="Z55" s="45"/>
    </row>
    <row r="56" spans="2:29" ht="14.25" customHeight="1" x14ac:dyDescent="0.25">
      <c r="B56"/>
      <c r="C56"/>
      <c r="D56"/>
      <c r="E56"/>
      <c r="F56"/>
      <c r="G56"/>
      <c r="H56"/>
      <c r="I56"/>
      <c r="J56"/>
      <c r="K56" s="8"/>
      <c r="L56"/>
      <c r="M56"/>
      <c r="N56"/>
      <c r="O56"/>
      <c r="P56"/>
      <c r="Q56"/>
      <c r="R56" s="8"/>
      <c r="S56" s="8"/>
      <c r="T56"/>
      <c r="U56"/>
      <c r="V56" s="8"/>
      <c r="W56" s="45"/>
      <c r="X56" s="6"/>
      <c r="Z56" s="45"/>
    </row>
    <row r="57" spans="2:29" ht="14.25" customHeight="1" x14ac:dyDescent="0.25">
      <c r="B57"/>
      <c r="C57"/>
      <c r="D57"/>
      <c r="E57"/>
      <c r="F57"/>
      <c r="G57"/>
      <c r="H57"/>
      <c r="I57"/>
      <c r="J57"/>
      <c r="K57" s="8"/>
      <c r="L57"/>
      <c r="M57"/>
      <c r="N57"/>
      <c r="O57"/>
      <c r="P57"/>
      <c r="Q57"/>
      <c r="R57" s="8"/>
      <c r="S57" s="8"/>
      <c r="T57"/>
      <c r="U57"/>
      <c r="V57" s="8"/>
      <c r="W57" s="45"/>
      <c r="X57" s="6"/>
      <c r="Z57" s="45"/>
    </row>
    <row r="58" spans="2:29" ht="14.25" customHeight="1" x14ac:dyDescent="0.25">
      <c r="B58"/>
      <c r="C58"/>
      <c r="D58"/>
      <c r="E58"/>
      <c r="F58"/>
      <c r="G58"/>
      <c r="H58"/>
      <c r="I58"/>
      <c r="J58"/>
      <c r="K58" s="8"/>
      <c r="L58"/>
      <c r="M58"/>
      <c r="N58"/>
      <c r="O58"/>
      <c r="P58"/>
      <c r="Q58"/>
      <c r="R58" s="8"/>
      <c r="S58" s="8"/>
      <c r="T58" s="96"/>
      <c r="U58"/>
      <c r="V58" s="8"/>
      <c r="W58" s="45"/>
      <c r="X58" s="6"/>
      <c r="Z58" s="45"/>
    </row>
    <row r="59" spans="2:29" ht="16.5" customHeight="1" x14ac:dyDescent="0.25">
      <c r="B59"/>
      <c r="C59"/>
      <c r="D59"/>
      <c r="E59"/>
      <c r="F59"/>
      <c r="G59"/>
      <c r="H59"/>
      <c r="I59"/>
      <c r="J59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45"/>
      <c r="X59" s="6"/>
      <c r="Z59" s="45"/>
    </row>
    <row r="60" spans="2:29" ht="15.75" customHeight="1" x14ac:dyDescent="0.25">
      <c r="C60"/>
      <c r="D60"/>
      <c r="E60"/>
      <c r="F60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45"/>
      <c r="X60" s="6"/>
      <c r="Z60" s="45"/>
    </row>
    <row r="61" spans="2:29" ht="15" customHeight="1" x14ac:dyDescent="0.25">
      <c r="B61" s="52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/>
      <c r="O61"/>
      <c r="P61"/>
      <c r="Q61"/>
      <c r="R61" s="8"/>
      <c r="S61" s="8"/>
      <c r="T61" s="8"/>
      <c r="U61" s="8"/>
      <c r="V61" s="8"/>
      <c r="W61" s="8"/>
      <c r="X61" s="8"/>
      <c r="Y61" s="8"/>
      <c r="Z61" s="8"/>
    </row>
    <row r="62" spans="2:29" ht="14.25" customHeight="1" x14ac:dyDescent="0.25"/>
    <row r="63" spans="2:29" ht="14.25" customHeight="1" x14ac:dyDescent="0.25"/>
    <row r="64" spans="2:29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</sheetData>
  <mergeCells count="34">
    <mergeCell ref="G2:J2"/>
    <mergeCell ref="K2:N2"/>
    <mergeCell ref="G4:N4"/>
    <mergeCell ref="N7:Q7"/>
    <mergeCell ref="B6:C6"/>
    <mergeCell ref="D6:F6"/>
    <mergeCell ref="G6:H6"/>
    <mergeCell ref="I6:K6"/>
    <mergeCell ref="L6:M6"/>
    <mergeCell ref="N6:Q6"/>
    <mergeCell ref="B7:C7"/>
    <mergeCell ref="D7:F7"/>
    <mergeCell ref="G7:H7"/>
    <mergeCell ref="I7:K7"/>
    <mergeCell ref="L7:M7"/>
    <mergeCell ref="M24:N24"/>
    <mergeCell ref="M25:N25"/>
    <mergeCell ref="C10:E10"/>
    <mergeCell ref="G10:I10"/>
    <mergeCell ref="C11:E11"/>
    <mergeCell ref="G11:I11"/>
    <mergeCell ref="E24:F24"/>
    <mergeCell ref="E25:F25"/>
    <mergeCell ref="N32:Q32"/>
    <mergeCell ref="N35:Q35"/>
    <mergeCell ref="B32:C32"/>
    <mergeCell ref="D32:F32"/>
    <mergeCell ref="G32:H32"/>
    <mergeCell ref="I32:K32"/>
    <mergeCell ref="L32:M32"/>
    <mergeCell ref="C34:E34"/>
    <mergeCell ref="C35:E35"/>
    <mergeCell ref="G34:I34"/>
    <mergeCell ref="G35:I35"/>
  </mergeCells>
  <conditionalFormatting sqref="B34:F36 B37:B54 D37:F54 B55:F56">
    <cfRule type="cellIs" dxfId="16" priority="9" operator="equal">
      <formula>"SP"</formula>
    </cfRule>
  </conditionalFormatting>
  <conditionalFormatting sqref="C21 G21">
    <cfRule type="containsText" dxfId="15" priority="36" operator="containsText" text="La Poste">
      <formula>NOT(ISERROR(SEARCH("La Poste",C21)))</formula>
    </cfRule>
    <cfRule type="containsText" dxfId="14" priority="37" operator="containsText" text="Swiss Post">
      <formula>NOT(ISERROR(SEARCH("Swiss Post",C21)))</formula>
    </cfRule>
  </conditionalFormatting>
  <conditionalFormatting sqref="J60:K60">
    <cfRule type="expression" dxfId="13" priority="45">
      <formula>IF(#REF!="EUR",1,0)</formula>
    </cfRule>
  </conditionalFormatting>
  <conditionalFormatting sqref="K58:K59">
    <cfRule type="expression" dxfId="12" priority="42">
      <formula>IF(#REF!="EUR",1,0)</formula>
    </cfRule>
  </conditionalFormatting>
  <conditionalFormatting sqref="O25:P25 O26:Q28">
    <cfRule type="cellIs" dxfId="11" priority="62" operator="equal">
      <formula>0</formula>
    </cfRule>
  </conditionalFormatting>
  <conditionalFormatting sqref="R43 T43">
    <cfRule type="expression" dxfId="10" priority="55">
      <formula>IF(#REF!="EUR",1,0)</formula>
    </cfRule>
  </conditionalFormatting>
  <conditionalFormatting sqref="T13:T18 W13:W18 Y13:Z18 W37 Z37 S37:T39 Y38 S41:T42 W41:W42 Z41:Z42 W44:W45 Z44:Z45 S44:T49 Y47 W47:W48 Z47:Z48 S51:T53 W51:W53 Y51:Z53 R54 T54">
    <cfRule type="expression" dxfId="9" priority="52">
      <formula>IF(#REF!="EUR",1,0)</formula>
    </cfRule>
  </conditionalFormatting>
  <printOptions horizontalCentered="1" verticalCentered="1"/>
  <pageMargins left="0.23622047244094491" right="0.23622047244094491" top="0.23622047244094491" bottom="0.23622047244094491" header="0.31496062992125984" footer="0.31496062992125984"/>
  <pageSetup paperSize="9" scale="75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92C2C-59BD-4F8F-A632-B905867BB4C3}">
  <sheetPr>
    <tabColor rgb="FFD9E6E8"/>
    <pageSetUpPr fitToPage="1"/>
  </sheetPr>
  <dimension ref="A1:AD342"/>
  <sheetViews>
    <sheetView showGridLines="0" showRowColHeaders="0" zoomScaleNormal="100" zoomScaleSheetLayoutView="85" workbookViewId="0"/>
  </sheetViews>
  <sheetFormatPr defaultColWidth="0" defaultRowHeight="14.25" customHeight="1" zeroHeight="1" x14ac:dyDescent="0.25"/>
  <cols>
    <col min="1" max="1" width="0.85546875" style="6" customWidth="1"/>
    <col min="2" max="2" width="18" style="6" customWidth="1"/>
    <col min="3" max="4" width="11.42578125" style="45" customWidth="1"/>
    <col min="5" max="6" width="11.42578125" style="6" customWidth="1"/>
    <col min="7" max="11" width="11.42578125" style="45" customWidth="1"/>
    <col min="12" max="13" width="11.42578125" style="6" customWidth="1"/>
    <col min="14" max="15" width="11.42578125" style="45" customWidth="1"/>
    <col min="16" max="17" width="11.42578125" style="6" customWidth="1"/>
    <col min="18" max="18" width="1.42578125" style="45" customWidth="1"/>
    <col min="19" max="19" width="8.140625" style="6" hidden="1" customWidth="1"/>
    <col min="20" max="20" width="8.140625" style="45" hidden="1" customWidth="1"/>
    <col min="21" max="21" width="9.7109375" style="45" hidden="1" customWidth="1"/>
    <col min="22" max="23" width="8.140625" style="6" hidden="1" customWidth="1"/>
    <col min="24" max="24" width="12.140625" style="45" hidden="1" customWidth="1"/>
    <col min="25" max="26" width="8.140625" style="6" hidden="1" customWidth="1"/>
    <col min="27" max="27" width="0.85546875" style="6" hidden="1" customWidth="1"/>
    <col min="28" max="30" width="0" style="6" hidden="1" customWidth="1"/>
    <col min="31" max="16384" width="9.140625" style="6" hidden="1"/>
  </cols>
  <sheetData>
    <row r="1" spans="1:28" s="1" customFormat="1" ht="4.5" customHeight="1" thickBot="1" x14ac:dyDescent="0.3">
      <c r="B1" s="1" t="s">
        <v>817</v>
      </c>
      <c r="C1" s="2"/>
      <c r="D1" s="2"/>
      <c r="E1" s="3"/>
      <c r="F1" s="3"/>
      <c r="G1" s="4"/>
      <c r="H1" s="4"/>
      <c r="I1" s="4"/>
      <c r="J1" s="4"/>
      <c r="K1" s="4"/>
      <c r="L1" s="3"/>
      <c r="M1" s="3"/>
      <c r="N1" s="5"/>
      <c r="O1" s="5"/>
      <c r="P1" s="5"/>
      <c r="Q1" s="5"/>
      <c r="R1" s="4"/>
      <c r="S1" s="3"/>
      <c r="T1" s="4"/>
      <c r="U1" s="4"/>
      <c r="V1" s="3"/>
      <c r="W1" s="3"/>
      <c r="X1" s="4"/>
      <c r="Y1" s="3"/>
      <c r="Z1" s="3"/>
      <c r="AA1" s="3"/>
    </row>
    <row r="2" spans="1:28" ht="18" x14ac:dyDescent="0.25">
      <c r="B2" s="7"/>
      <c r="C2" s="8"/>
      <c r="D2" s="8"/>
      <c r="E2" s="8"/>
      <c r="F2" s="8"/>
      <c r="G2" s="289" t="s">
        <v>820</v>
      </c>
      <c r="H2" s="290"/>
      <c r="I2" s="290"/>
      <c r="J2" s="291"/>
      <c r="K2" s="323" t="s">
        <v>821</v>
      </c>
      <c r="L2" s="290"/>
      <c r="M2" s="290"/>
      <c r="N2" s="291"/>
      <c r="O2"/>
      <c r="P2"/>
      <c r="Q2"/>
      <c r="R2" s="8"/>
      <c r="S2" s="8"/>
      <c r="T2" s="8"/>
      <c r="U2" s="8"/>
      <c r="V2" s="8"/>
      <c r="W2" s="8"/>
      <c r="X2" s="8"/>
      <c r="Y2" s="8"/>
      <c r="Z2" s="8"/>
    </row>
    <row r="3" spans="1:28" s="9" customFormat="1" ht="28.5" customHeight="1" thickBot="1" x14ac:dyDescent="0.3">
      <c r="B3" s="109" t="s">
        <v>819</v>
      </c>
      <c r="C3" s="10"/>
      <c r="D3" s="10"/>
      <c r="G3" s="160" t="s">
        <v>487</v>
      </c>
      <c r="H3" s="162" t="s">
        <v>488</v>
      </c>
      <c r="I3" s="161" t="s">
        <v>489</v>
      </c>
      <c r="J3" s="164"/>
      <c r="K3" s="190" t="s">
        <v>490</v>
      </c>
      <c r="L3" s="162"/>
      <c r="M3" s="161" t="s">
        <v>491</v>
      </c>
      <c r="N3" s="164"/>
      <c r="O3"/>
      <c r="P3"/>
      <c r="Q3"/>
      <c r="R3" s="11"/>
      <c r="T3" s="11"/>
      <c r="U3" s="11"/>
      <c r="X3" s="11"/>
    </row>
    <row r="4" spans="1:28" ht="15" x14ac:dyDescent="0.25">
      <c r="B4" s="12" t="str">
        <f>'Priority Manifest'!B4</f>
        <v>Valid from 1st January 2025</v>
      </c>
      <c r="C4" s="13"/>
      <c r="D4" s="13"/>
      <c r="E4" s="8"/>
      <c r="F4" s="8"/>
      <c r="G4" s="280" t="s">
        <v>492</v>
      </c>
      <c r="H4" s="280"/>
      <c r="I4" s="280"/>
      <c r="J4" s="280"/>
      <c r="K4" s="280"/>
      <c r="L4" s="280"/>
      <c r="M4" s="280"/>
      <c r="N4" s="280"/>
      <c r="O4"/>
      <c r="P4"/>
      <c r="Q4"/>
      <c r="R4" s="8"/>
      <c r="S4" s="8"/>
      <c r="T4" s="8"/>
      <c r="U4" s="8"/>
      <c r="V4" s="8"/>
      <c r="W4" s="8"/>
      <c r="X4" s="8"/>
      <c r="Y4" s="8"/>
      <c r="Z4" s="8"/>
    </row>
    <row r="5" spans="1:28" ht="15.75" thickBot="1" x14ac:dyDescent="0.3">
      <c r="B5" s="14"/>
      <c r="C5" s="13"/>
      <c r="D5" s="13"/>
      <c r="E5" s="8"/>
      <c r="F5" s="8"/>
      <c r="G5" s="8"/>
      <c r="H5" s="8"/>
      <c r="I5" s="8"/>
      <c r="J5" s="8"/>
      <c r="K5" s="8"/>
      <c r="L5" s="8"/>
      <c r="M5" s="8"/>
      <c r="N5" s="8"/>
      <c r="O5"/>
      <c r="P5"/>
      <c r="Q5"/>
      <c r="R5" s="8"/>
      <c r="S5" s="8"/>
      <c r="T5" s="8"/>
      <c r="U5" s="8"/>
      <c r="V5" s="8"/>
      <c r="W5" s="8"/>
      <c r="X5" s="8"/>
      <c r="Y5" s="8"/>
      <c r="Z5" s="8"/>
    </row>
    <row r="6" spans="1:28" ht="14.25" customHeight="1" x14ac:dyDescent="0.25">
      <c r="B6" s="292" t="s">
        <v>0</v>
      </c>
      <c r="C6" s="293"/>
      <c r="D6" s="294"/>
      <c r="E6" s="294"/>
      <c r="F6" s="294"/>
      <c r="G6" s="293" t="s">
        <v>1</v>
      </c>
      <c r="H6" s="293"/>
      <c r="I6" s="294"/>
      <c r="J6" s="294"/>
      <c r="K6" s="294"/>
      <c r="L6" s="293" t="s">
        <v>2</v>
      </c>
      <c r="M6" s="293"/>
      <c r="N6" s="295"/>
      <c r="O6" s="295"/>
      <c r="P6" s="295"/>
      <c r="Q6" s="296"/>
      <c r="R6" s="8"/>
      <c r="S6" s="8"/>
      <c r="T6" s="8"/>
      <c r="U6" s="8"/>
      <c r="V6" s="8"/>
      <c r="W6" s="8"/>
      <c r="X6" s="8"/>
      <c r="Y6" s="8"/>
      <c r="Z6" s="8"/>
    </row>
    <row r="7" spans="1:28" ht="14.25" customHeight="1" thickBot="1" x14ac:dyDescent="0.3">
      <c r="B7" s="297" t="s">
        <v>3</v>
      </c>
      <c r="C7" s="298"/>
      <c r="D7" s="287"/>
      <c r="E7" s="287"/>
      <c r="F7" s="287"/>
      <c r="G7" s="298" t="s">
        <v>4</v>
      </c>
      <c r="H7" s="298"/>
      <c r="I7" s="287"/>
      <c r="J7" s="287"/>
      <c r="K7" s="287"/>
      <c r="L7" s="298" t="s">
        <v>5</v>
      </c>
      <c r="M7" s="298"/>
      <c r="N7" s="287"/>
      <c r="O7" s="287"/>
      <c r="P7" s="287"/>
      <c r="Q7" s="288"/>
      <c r="R7" s="8"/>
      <c r="S7" s="8"/>
      <c r="T7" s="8"/>
      <c r="U7" s="8"/>
      <c r="V7" s="8"/>
      <c r="W7" s="8"/>
      <c r="X7" s="8"/>
      <c r="Y7" s="8"/>
      <c r="Z7" s="8"/>
    </row>
    <row r="8" spans="1:28" ht="14.25" customHeight="1" x14ac:dyDescent="0.25">
      <c r="B8" s="15"/>
      <c r="C8" s="16"/>
      <c r="D8" s="16"/>
      <c r="E8" s="16"/>
      <c r="F8" s="15"/>
      <c r="G8" s="15"/>
      <c r="H8" s="15"/>
      <c r="I8" s="15"/>
      <c r="J8" s="16"/>
      <c r="K8" s="16"/>
      <c r="L8" s="16"/>
      <c r="M8" s="15"/>
      <c r="N8" s="89"/>
      <c r="O8" s="89"/>
      <c r="P8" s="89"/>
      <c r="Q8" s="89"/>
      <c r="R8" s="8"/>
      <c r="S8" s="8"/>
      <c r="T8" s="8"/>
      <c r="U8" s="8"/>
      <c r="V8" s="8"/>
      <c r="W8" s="8"/>
      <c r="X8" s="8"/>
      <c r="Y8" s="8"/>
      <c r="Z8" s="8"/>
    </row>
    <row r="9" spans="1:28" s="19" customFormat="1" ht="14.25" customHeight="1" thickBot="1" x14ac:dyDescent="0.3">
      <c r="B9" s="20"/>
      <c r="C9" s="21" t="s">
        <v>457</v>
      </c>
      <c r="D9" s="21" t="s">
        <v>457</v>
      </c>
      <c r="E9" s="22"/>
      <c r="F9" s="22" t="s">
        <v>457</v>
      </c>
      <c r="G9" s="23" t="s">
        <v>458</v>
      </c>
      <c r="H9" s="21" t="s">
        <v>458</v>
      </c>
      <c r="I9" s="23"/>
      <c r="J9" s="23" t="s">
        <v>458</v>
      </c>
      <c r="K9" s="23"/>
      <c r="L9" s="22"/>
      <c r="M9" s="22"/>
      <c r="N9" s="23"/>
      <c r="O9" s="23"/>
      <c r="P9" s="22"/>
      <c r="Q9" s="22"/>
      <c r="R9" s="23"/>
      <c r="S9" s="22"/>
      <c r="T9" s="23"/>
      <c r="U9" s="23"/>
      <c r="V9" s="22"/>
      <c r="W9" s="22"/>
      <c r="X9" s="23"/>
      <c r="Y9" s="22"/>
      <c r="Z9" s="22"/>
    </row>
    <row r="10" spans="1:28" s="25" customFormat="1" ht="18" x14ac:dyDescent="0.25">
      <c r="A10" s="24"/>
      <c r="B10" s="85"/>
      <c r="C10" s="314" t="s">
        <v>456</v>
      </c>
      <c r="D10" s="324"/>
      <c r="E10" s="325"/>
      <c r="F10"/>
      <c r="G10" s="314" t="s">
        <v>456</v>
      </c>
      <c r="H10" s="324"/>
      <c r="I10" s="325"/>
      <c r="J10"/>
      <c r="K10"/>
      <c r="L10"/>
      <c r="M10"/>
      <c r="N10"/>
      <c r="O10"/>
      <c r="P10"/>
      <c r="Q10"/>
      <c r="R10" s="26"/>
      <c r="S10" s="26"/>
      <c r="T10" s="90"/>
      <c r="U10" s="90"/>
      <c r="V10" s="26"/>
      <c r="W10" s="26"/>
      <c r="X10" s="26"/>
      <c r="Y10" s="26"/>
      <c r="Z10" s="26"/>
      <c r="AA10" s="8"/>
    </row>
    <row r="11" spans="1:28" ht="15.75" customHeight="1" x14ac:dyDescent="0.25">
      <c r="A11" s="27"/>
      <c r="B11" s="25"/>
      <c r="C11" s="259" t="s">
        <v>459</v>
      </c>
      <c r="D11" s="317"/>
      <c r="E11" s="318"/>
      <c r="F11"/>
      <c r="G11" s="259" t="s">
        <v>460</v>
      </c>
      <c r="H11" s="317"/>
      <c r="I11" s="318"/>
      <c r="J11"/>
      <c r="K11"/>
      <c r="L11"/>
      <c r="M11"/>
      <c r="N11"/>
      <c r="O11"/>
      <c r="P11"/>
      <c r="Q11"/>
      <c r="R11" s="28"/>
      <c r="S11" s="28"/>
      <c r="T11" s="31"/>
      <c r="U11"/>
      <c r="V11"/>
      <c r="W11" s="29"/>
      <c r="X11" s="29"/>
      <c r="Y11" s="29"/>
      <c r="Z11" s="29"/>
      <c r="AA11" s="91"/>
    </row>
    <row r="12" spans="1:28" ht="15.75" thickBot="1" x14ac:dyDescent="0.3">
      <c r="A12" s="27"/>
      <c r="B12" s="30"/>
      <c r="C12" s="224" t="s">
        <v>15</v>
      </c>
      <c r="D12" s="210" t="s">
        <v>16</v>
      </c>
      <c r="E12" s="230" t="s">
        <v>17</v>
      </c>
      <c r="F12"/>
      <c r="G12" s="214" t="s">
        <v>15</v>
      </c>
      <c r="H12" s="215" t="s">
        <v>16</v>
      </c>
      <c r="I12" s="229" t="s">
        <v>17</v>
      </c>
      <c r="J12"/>
      <c r="K12"/>
      <c r="L12"/>
      <c r="M12"/>
      <c r="N12"/>
      <c r="O12"/>
      <c r="P12"/>
      <c r="Q12"/>
      <c r="R12" s="31"/>
      <c r="S12" s="32"/>
      <c r="T12" s="32"/>
      <c r="U12"/>
      <c r="V12"/>
      <c r="W12" s="32"/>
      <c r="X12" s="31"/>
      <c r="Y12" s="106" t="s">
        <v>809</v>
      </c>
      <c r="Z12" s="33"/>
    </row>
    <row r="13" spans="1:28" ht="15" x14ac:dyDescent="0.25">
      <c r="A13" s="34" t="s">
        <v>47</v>
      </c>
      <c r="B13" s="119" t="s">
        <v>48</v>
      </c>
      <c r="C13" s="206" t="s">
        <v>816</v>
      </c>
      <c r="D13" s="146"/>
      <c r="E13" s="151"/>
      <c r="F13"/>
      <c r="G13" s="206" t="s">
        <v>816</v>
      </c>
      <c r="H13" s="146"/>
      <c r="I13" s="151"/>
      <c r="J13"/>
      <c r="K13"/>
      <c r="L13"/>
      <c r="M13"/>
      <c r="N13"/>
      <c r="O13"/>
      <c r="P13"/>
      <c r="Q13"/>
      <c r="R13" s="8"/>
      <c r="T13" s="37" t="s">
        <v>47</v>
      </c>
      <c r="U13" t="s">
        <v>47</v>
      </c>
      <c r="W13" s="8"/>
      <c r="X13" s="8"/>
      <c r="Y13" t="s">
        <v>48</v>
      </c>
      <c r="Z13" s="8"/>
      <c r="AB13" s="107" t="str">
        <f t="shared" ref="AB13:AB18" si="0">IF(Y13=B13,"TRUE","FALSE")</f>
        <v>TRUE</v>
      </c>
    </row>
    <row r="14" spans="1:28" ht="15" x14ac:dyDescent="0.25">
      <c r="A14" s="34" t="s">
        <v>49</v>
      </c>
      <c r="B14" s="119" t="s">
        <v>50</v>
      </c>
      <c r="C14" s="206" t="s">
        <v>816</v>
      </c>
      <c r="D14" s="146"/>
      <c r="E14" s="151"/>
      <c r="F14"/>
      <c r="G14" s="206" t="s">
        <v>816</v>
      </c>
      <c r="H14" s="146"/>
      <c r="I14" s="151"/>
      <c r="J14"/>
      <c r="K14"/>
      <c r="L14"/>
      <c r="M14"/>
      <c r="N14"/>
      <c r="O14"/>
      <c r="P14"/>
      <c r="Q14"/>
      <c r="R14" s="8"/>
      <c r="T14" s="37" t="s">
        <v>49</v>
      </c>
      <c r="U14" t="s">
        <v>49</v>
      </c>
      <c r="W14" s="8"/>
      <c r="X14" s="8"/>
      <c r="Y14" t="s">
        <v>50</v>
      </c>
      <c r="Z14" s="8"/>
      <c r="AB14" s="107" t="str">
        <f t="shared" si="0"/>
        <v>TRUE</v>
      </c>
    </row>
    <row r="15" spans="1:28" ht="15" x14ac:dyDescent="0.25">
      <c r="A15" s="34" t="s">
        <v>61</v>
      </c>
      <c r="B15" s="158" t="s">
        <v>62</v>
      </c>
      <c r="C15" s="206" t="s">
        <v>816</v>
      </c>
      <c r="D15" s="146"/>
      <c r="E15" s="151"/>
      <c r="F15"/>
      <c r="G15" s="206" t="s">
        <v>816</v>
      </c>
      <c r="H15" s="146"/>
      <c r="I15" s="151"/>
      <c r="J15"/>
      <c r="K15"/>
      <c r="L15"/>
      <c r="M15"/>
      <c r="N15"/>
      <c r="O15"/>
      <c r="P15"/>
      <c r="Q15"/>
      <c r="R15" s="8"/>
      <c r="T15" s="37" t="s">
        <v>61</v>
      </c>
      <c r="U15" t="s">
        <v>61</v>
      </c>
      <c r="W15" s="8"/>
      <c r="X15" s="8"/>
      <c r="Y15" t="s">
        <v>62</v>
      </c>
      <c r="Z15" s="8"/>
      <c r="AB15" s="107" t="str">
        <f t="shared" si="0"/>
        <v>TRUE</v>
      </c>
    </row>
    <row r="16" spans="1:28" ht="15" hidden="1" x14ac:dyDescent="0.25">
      <c r="A16" s="38" t="s">
        <v>63</v>
      </c>
      <c r="B16" s="158" t="s">
        <v>64</v>
      </c>
      <c r="C16" s="206" t="s">
        <v>816</v>
      </c>
      <c r="D16" s="146"/>
      <c r="E16" s="151"/>
      <c r="F16"/>
      <c r="G16" s="206" t="s">
        <v>816</v>
      </c>
      <c r="H16" s="146"/>
      <c r="I16" s="151"/>
      <c r="J16"/>
      <c r="K16"/>
      <c r="L16"/>
      <c r="M16"/>
      <c r="N16"/>
      <c r="O16"/>
      <c r="P16"/>
      <c r="Q16"/>
      <c r="R16" s="8"/>
      <c r="T16" s="37" t="s">
        <v>63</v>
      </c>
      <c r="U16" t="s">
        <v>63</v>
      </c>
      <c r="W16" s="8"/>
      <c r="X16" s="8"/>
      <c r="Y16" t="s">
        <v>64</v>
      </c>
      <c r="Z16" s="8"/>
      <c r="AB16" s="107" t="str">
        <f t="shared" si="0"/>
        <v>TRUE</v>
      </c>
    </row>
    <row r="17" spans="1:28" ht="15.75" thickBot="1" x14ac:dyDescent="0.3">
      <c r="A17" s="34" t="s">
        <v>65</v>
      </c>
      <c r="B17" s="159" t="s">
        <v>66</v>
      </c>
      <c r="C17" s="206" t="s">
        <v>816</v>
      </c>
      <c r="D17" s="153"/>
      <c r="E17" s="154"/>
      <c r="F17"/>
      <c r="G17" s="206" t="s">
        <v>816</v>
      </c>
      <c r="H17" s="153"/>
      <c r="I17" s="154"/>
      <c r="J17"/>
      <c r="K17"/>
      <c r="L17"/>
      <c r="M17"/>
      <c r="N17"/>
      <c r="O17"/>
      <c r="P17"/>
      <c r="Q17"/>
      <c r="R17" s="8"/>
      <c r="T17" s="37" t="s">
        <v>65</v>
      </c>
      <c r="U17" t="s">
        <v>65</v>
      </c>
      <c r="W17" s="8"/>
      <c r="X17" s="8"/>
      <c r="Y17" t="s">
        <v>66</v>
      </c>
      <c r="Z17" s="8"/>
      <c r="AB17" s="107" t="str">
        <f t="shared" si="0"/>
        <v>TRUE</v>
      </c>
    </row>
    <row r="18" spans="1:28" ht="15.75" hidden="1" thickBot="1" x14ac:dyDescent="0.3">
      <c r="A18" s="38" t="s">
        <v>73</v>
      </c>
      <c r="B18" s="159" t="s">
        <v>461</v>
      </c>
      <c r="C18" s="206" t="s">
        <v>816</v>
      </c>
      <c r="D18" s="153"/>
      <c r="E18" s="154"/>
      <c r="F18"/>
      <c r="G18" s="206" t="s">
        <v>816</v>
      </c>
      <c r="H18" s="153"/>
      <c r="I18" s="154"/>
      <c r="J18"/>
      <c r="K18"/>
      <c r="L18"/>
      <c r="M18"/>
      <c r="N18"/>
      <c r="O18"/>
      <c r="P18"/>
      <c r="Q18"/>
      <c r="R18" s="8"/>
      <c r="T18" s="39" t="s">
        <v>73</v>
      </c>
      <c r="U18" t="s">
        <v>73</v>
      </c>
      <c r="W18" s="8"/>
      <c r="X18" s="8"/>
      <c r="Y18" t="s">
        <v>461</v>
      </c>
      <c r="Z18" s="8"/>
      <c r="AB18" s="107" t="str">
        <f t="shared" si="0"/>
        <v>TRUE</v>
      </c>
    </row>
    <row r="19" spans="1:28" ht="8.25" customHeight="1" x14ac:dyDescent="0.25">
      <c r="A19" s="40"/>
      <c r="B19" s="41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/>
      <c r="V19"/>
      <c r="W19" s="8"/>
      <c r="X19" s="8"/>
      <c r="Z19" s="8"/>
    </row>
    <row r="20" spans="1:28" ht="8.25" customHeight="1" thickBot="1" x14ac:dyDescent="0.3">
      <c r="A20" s="40"/>
      <c r="B20" s="41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/>
      <c r="V20"/>
      <c r="W20" s="8"/>
      <c r="X20" s="8"/>
      <c r="Z20" s="8"/>
    </row>
    <row r="21" spans="1:28" ht="15.75" thickBot="1" x14ac:dyDescent="0.3">
      <c r="A21" s="40"/>
      <c r="B21" s="194" t="s">
        <v>483</v>
      </c>
      <c r="C21" s="166" t="s">
        <v>463</v>
      </c>
      <c r="D21" s="167"/>
      <c r="E21" s="168"/>
      <c r="F21" s="189"/>
      <c r="G21" s="169" t="s">
        <v>463</v>
      </c>
      <c r="H21" s="200"/>
      <c r="I21" s="195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/>
      <c r="V21"/>
      <c r="W21" s="8"/>
      <c r="X21" s="8"/>
      <c r="Y21" t="s">
        <v>483</v>
      </c>
      <c r="Z21" s="8"/>
      <c r="AB21" s="107" t="str">
        <f>IF(Y21=B21,"TRUE","FALSE")</f>
        <v>TRUE</v>
      </c>
    </row>
    <row r="22" spans="1:28" ht="25.5" customHeight="1" x14ac:dyDescent="0.25">
      <c r="B22" s="42"/>
      <c r="C22" s="43"/>
      <c r="D22" s="43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/>
      <c r="V22"/>
      <c r="W22" s="8"/>
      <c r="X22" s="8"/>
      <c r="Z22" s="8"/>
    </row>
    <row r="23" spans="1:28" ht="11.25" customHeight="1" thickBot="1" x14ac:dyDescent="0.3">
      <c r="B23" s="42"/>
      <c r="C23" s="43"/>
      <c r="D23" s="43"/>
      <c r="E23" s="8"/>
      <c r="F23" s="8"/>
      <c r="G23" s="8"/>
      <c r="H23" s="8"/>
      <c r="I23" s="8"/>
      <c r="J23" s="8"/>
      <c r="K23" s="8"/>
      <c r="L23" s="8"/>
      <c r="M23" s="8"/>
      <c r="N23" s="8"/>
      <c r="O23" s="231"/>
      <c r="P23" s="231"/>
      <c r="Q23" s="8"/>
      <c r="R23" s="8"/>
      <c r="S23" s="8"/>
      <c r="T23" s="8"/>
      <c r="U23"/>
      <c r="V23"/>
      <c r="W23" s="8"/>
      <c r="X23" s="8"/>
      <c r="Z23" s="8"/>
    </row>
    <row r="24" spans="1:28" ht="11.25" customHeight="1" thickBot="1" x14ac:dyDescent="0.3">
      <c r="B24" s="99" t="s">
        <v>464</v>
      </c>
      <c r="C24" s="100" t="s">
        <v>465</v>
      </c>
      <c r="D24" s="100" t="s">
        <v>466</v>
      </c>
      <c r="E24" s="326" t="s">
        <v>467</v>
      </c>
      <c r="F24" s="326"/>
      <c r="G24" s="8"/>
      <c r="H24" s="8"/>
      <c r="I24" s="8"/>
      <c r="J24" s="8"/>
      <c r="K24" s="8"/>
      <c r="L24" s="8"/>
      <c r="M24" s="308" t="s">
        <v>74</v>
      </c>
      <c r="N24" s="308"/>
      <c r="O24" s="212" t="s">
        <v>75</v>
      </c>
      <c r="P24" s="213" t="s">
        <v>76</v>
      </c>
      <c r="Q24"/>
      <c r="R24" s="8"/>
      <c r="S24" s="8"/>
      <c r="T24" s="8"/>
      <c r="U24"/>
      <c r="V24"/>
      <c r="W24" s="8"/>
      <c r="X24" s="8"/>
      <c r="Z24" s="8"/>
    </row>
    <row r="25" spans="1:28" ht="23.25" customHeight="1" thickBot="1" x14ac:dyDescent="0.3">
      <c r="B25" s="99" t="s">
        <v>468</v>
      </c>
      <c r="C25" s="101"/>
      <c r="D25" s="101"/>
      <c r="E25" s="327"/>
      <c r="F25" s="327"/>
      <c r="M25" s="309" t="s">
        <v>77</v>
      </c>
      <c r="N25" s="310"/>
      <c r="O25" s="170">
        <f>SUM(D13:D21,H13:H21,D37:D40,H37:H40,D41:D43,H41:H43,D44:D46,H44:H46,D47:D50,H47:H50,D51:D54,H51:H54)</f>
        <v>0</v>
      </c>
      <c r="P25" s="171">
        <f>SUM(E13:E21,I13:I21,E37:E40,I37:I40,E41:E43,I41:I43,E44:E46,I44:I46,E47:E50,I47:I50,E51:E54,I51:I54)</f>
        <v>0</v>
      </c>
      <c r="Q25"/>
      <c r="R25" s="46"/>
      <c r="S25" s="47"/>
      <c r="T25" s="46"/>
      <c r="U25"/>
      <c r="V25"/>
      <c r="W25" s="47"/>
      <c r="X25" s="46"/>
      <c r="Z25" s="47"/>
    </row>
    <row r="26" spans="1:28" ht="16.5" customHeight="1" x14ac:dyDescent="0.25">
      <c r="B26" s="7"/>
      <c r="C26" s="8"/>
      <c r="D26" s="8"/>
      <c r="N26" s="48"/>
      <c r="O26" s="49"/>
      <c r="P26" s="50"/>
      <c r="Q26" s="51"/>
      <c r="R26" s="46"/>
      <c r="S26" s="47"/>
      <c r="T26" s="46"/>
      <c r="U26"/>
      <c r="V26"/>
      <c r="W26" s="47"/>
      <c r="X26" s="46"/>
      <c r="Z26" s="47"/>
    </row>
    <row r="27" spans="1:28" ht="23.25" customHeight="1" x14ac:dyDescent="0.25">
      <c r="B27" s="7"/>
      <c r="C27" s="8"/>
      <c r="D27" s="8"/>
      <c r="N27" s="48"/>
      <c r="O27" s="49"/>
      <c r="P27" s="50"/>
      <c r="Q27" s="51"/>
      <c r="R27" s="46"/>
      <c r="S27" s="47"/>
      <c r="T27" s="46"/>
      <c r="U27"/>
      <c r="V27"/>
      <c r="W27" s="47"/>
      <c r="X27" s="46"/>
      <c r="Z27" s="47"/>
    </row>
    <row r="28" spans="1:28" ht="23.25" customHeight="1" x14ac:dyDescent="0.25">
      <c r="B28" s="52"/>
      <c r="C28" s="8"/>
      <c r="D28" s="8"/>
      <c r="N28" s="48"/>
      <c r="O28" s="49"/>
      <c r="P28" s="50"/>
      <c r="Q28" s="51"/>
      <c r="R28" s="46"/>
      <c r="S28" s="47"/>
      <c r="T28" s="46"/>
      <c r="U28"/>
      <c r="V28"/>
      <c r="W28" s="47"/>
      <c r="X28" s="46"/>
      <c r="Z28" s="47"/>
    </row>
    <row r="29" spans="1:28" s="9" customFormat="1" ht="27.75" customHeight="1" x14ac:dyDescent="0.25">
      <c r="B29" s="109" t="s">
        <v>819</v>
      </c>
      <c r="C29" s="10"/>
      <c r="D29" s="10"/>
      <c r="G29" s="11"/>
      <c r="H29" s="11"/>
      <c r="I29" s="11"/>
      <c r="J29" s="11"/>
      <c r="K29" s="11"/>
      <c r="N29"/>
      <c r="O29"/>
      <c r="P29"/>
      <c r="Q29"/>
      <c r="R29" s="11"/>
      <c r="T29" s="11"/>
      <c r="U29"/>
      <c r="V29"/>
      <c r="X29" s="11"/>
    </row>
    <row r="30" spans="1:28" ht="15" x14ac:dyDescent="0.25">
      <c r="B30" s="12" t="str">
        <f>$B$4</f>
        <v>Valid from 1st January 2025</v>
      </c>
      <c r="C30" s="13"/>
      <c r="D30" s="13"/>
      <c r="E30" s="8"/>
      <c r="F30" s="8"/>
      <c r="G30" s="8"/>
      <c r="H30" s="8"/>
      <c r="I30" s="8"/>
      <c r="J30" s="8"/>
      <c r="K30" s="8"/>
      <c r="L30" s="8"/>
      <c r="M30" s="8"/>
      <c r="N30"/>
      <c r="O30"/>
      <c r="P30"/>
      <c r="Q30"/>
      <c r="R30" s="8"/>
      <c r="S30" s="8"/>
      <c r="T30" s="8"/>
      <c r="U30"/>
      <c r="V30"/>
      <c r="W30" s="8"/>
      <c r="X30" s="8"/>
      <c r="Z30" s="8"/>
    </row>
    <row r="31" spans="1:28" ht="15.75" thickBot="1" x14ac:dyDescent="0.3">
      <c r="B31" s="14"/>
      <c r="C31" s="13"/>
      <c r="D31" s="13"/>
      <c r="E31" s="8"/>
      <c r="F31" s="8"/>
      <c r="G31" s="8"/>
      <c r="H31" s="8"/>
      <c r="I31" s="8"/>
      <c r="J31" s="8"/>
      <c r="K31" s="8"/>
      <c r="L31" s="8"/>
      <c r="M31" s="8"/>
      <c r="N31"/>
      <c r="O31"/>
      <c r="P31"/>
      <c r="Q31"/>
      <c r="R31" s="8"/>
      <c r="S31" s="8"/>
      <c r="T31" s="8"/>
      <c r="U31"/>
      <c r="V31"/>
      <c r="W31" s="8"/>
      <c r="X31" s="8"/>
      <c r="Z31" s="8"/>
    </row>
    <row r="32" spans="1:28" ht="14.25" customHeight="1" thickBot="1" x14ac:dyDescent="0.3">
      <c r="B32" s="311" t="s">
        <v>0</v>
      </c>
      <c r="C32" s="312"/>
      <c r="D32" s="306" t="str">
        <f>IF($D$6=0,"",$D$6)</f>
        <v/>
      </c>
      <c r="E32" s="306"/>
      <c r="F32" s="306"/>
      <c r="G32" s="312" t="s">
        <v>3</v>
      </c>
      <c r="H32" s="312"/>
      <c r="I32" s="306" t="str">
        <f>IF($D$7=0,"",$D$7)</f>
        <v/>
      </c>
      <c r="J32" s="306"/>
      <c r="K32" s="306"/>
      <c r="L32" s="312" t="s">
        <v>2</v>
      </c>
      <c r="M32" s="312"/>
      <c r="N32" s="305" t="str">
        <f>IF($N$6=0,"",$N$6)</f>
        <v/>
      </c>
      <c r="O32" s="306"/>
      <c r="P32" s="306"/>
      <c r="Q32" s="307"/>
      <c r="R32" s="8"/>
      <c r="S32" s="8"/>
      <c r="T32" s="8"/>
      <c r="U32"/>
      <c r="V32"/>
      <c r="W32" s="8"/>
      <c r="X32" s="8"/>
      <c r="Z32" s="8"/>
    </row>
    <row r="33" spans="2:29" s="19" customFormat="1" ht="14.25" customHeight="1" thickBot="1" x14ac:dyDescent="0.3">
      <c r="B33" s="92"/>
      <c r="C33" s="93"/>
      <c r="D33" s="93"/>
      <c r="E33" s="93"/>
      <c r="F33" s="94" t="s">
        <v>457</v>
      </c>
      <c r="G33" s="92"/>
      <c r="H33" s="92"/>
      <c r="I33" s="92"/>
      <c r="J33" s="93" t="s">
        <v>458</v>
      </c>
      <c r="K33" s="93"/>
      <c r="L33" s="93"/>
      <c r="M33" s="92"/>
      <c r="N33" s="95"/>
      <c r="O33" s="95"/>
      <c r="P33" s="95"/>
      <c r="Q33" s="95"/>
      <c r="R33" s="76"/>
      <c r="S33" s="76"/>
      <c r="T33" s="76"/>
      <c r="U33"/>
      <c r="V33"/>
      <c r="W33" s="76"/>
      <c r="X33" s="76"/>
      <c r="Z33" s="76"/>
    </row>
    <row r="34" spans="2:29" ht="18" x14ac:dyDescent="0.25">
      <c r="B34" s="85"/>
      <c r="C34" s="314" t="s">
        <v>456</v>
      </c>
      <c r="D34" s="324"/>
      <c r="E34" s="325"/>
      <c r="F34"/>
      <c r="G34" s="314" t="s">
        <v>456</v>
      </c>
      <c r="H34" s="324"/>
      <c r="I34" s="325"/>
      <c r="J34"/>
      <c r="K34" s="85"/>
      <c r="L34" s="85"/>
      <c r="M34" s="86"/>
      <c r="N34" s="87"/>
      <c r="O34" s="87"/>
      <c r="P34" s="86"/>
      <c r="Q34" s="86"/>
      <c r="R34" s="87"/>
      <c r="S34" s="86"/>
      <c r="T34" s="87"/>
      <c r="U34"/>
      <c r="V34"/>
      <c r="W34" s="86"/>
      <c r="X34" s="87"/>
      <c r="Z34" s="86"/>
    </row>
    <row r="35" spans="2:29" ht="15" customHeight="1" x14ac:dyDescent="0.25">
      <c r="B35" s="25"/>
      <c r="C35" s="259" t="s">
        <v>459</v>
      </c>
      <c r="D35" s="317"/>
      <c r="E35" s="318"/>
      <c r="F35" s="189"/>
      <c r="G35" s="256" t="s">
        <v>460</v>
      </c>
      <c r="H35" s="317"/>
      <c r="I35" s="318"/>
      <c r="J35"/>
      <c r="K35"/>
      <c r="L35"/>
      <c r="M35"/>
      <c r="N35" s="313"/>
      <c r="O35" s="313"/>
      <c r="P35" s="313"/>
      <c r="Q35" s="313"/>
      <c r="R35" s="26"/>
      <c r="S35" s="26"/>
      <c r="T35" s="90"/>
      <c r="U35"/>
      <c r="V35"/>
      <c r="W35" s="64"/>
      <c r="X35" s="64"/>
      <c r="Z35" s="64"/>
    </row>
    <row r="36" spans="2:29" ht="14.25" customHeight="1" thickBot="1" x14ac:dyDescent="0.3">
      <c r="B36" s="30"/>
      <c r="C36" s="214" t="s">
        <v>15</v>
      </c>
      <c r="D36" s="215" t="s">
        <v>16</v>
      </c>
      <c r="E36" s="229" t="s">
        <v>17</v>
      </c>
      <c r="F36" s="189"/>
      <c r="G36" s="214" t="s">
        <v>15</v>
      </c>
      <c r="H36" s="215" t="s">
        <v>16</v>
      </c>
      <c r="I36" s="229" t="s">
        <v>17</v>
      </c>
      <c r="J36"/>
      <c r="K36"/>
      <c r="L36"/>
      <c r="M36"/>
      <c r="N36"/>
      <c r="O36"/>
      <c r="P36"/>
      <c r="Q36"/>
      <c r="R36" s="31"/>
      <c r="S36" s="32"/>
      <c r="T36" s="32"/>
      <c r="U36"/>
      <c r="V36"/>
      <c r="W36" s="32"/>
      <c r="X36" s="31"/>
      <c r="Z36" s="33"/>
      <c r="AA36" s="65"/>
      <c r="AB36" s="66"/>
      <c r="AC36" s="47"/>
    </row>
    <row r="37" spans="2:29" ht="14.25" customHeight="1" x14ac:dyDescent="0.25">
      <c r="B37" s="119" t="s">
        <v>146</v>
      </c>
      <c r="C37" s="206" t="s">
        <v>816</v>
      </c>
      <c r="D37" s="146"/>
      <c r="E37" s="151"/>
      <c r="F37"/>
      <c r="G37" s="206" t="s">
        <v>816</v>
      </c>
      <c r="H37" s="146"/>
      <c r="I37" s="151"/>
      <c r="J37"/>
      <c r="K37"/>
      <c r="L37"/>
      <c r="M37"/>
      <c r="N37"/>
      <c r="O37"/>
      <c r="P37"/>
      <c r="Q37"/>
      <c r="R37" s="8"/>
      <c r="S37" s="8"/>
      <c r="T37" s="69" t="s">
        <v>148</v>
      </c>
      <c r="U37" t="s">
        <v>453</v>
      </c>
      <c r="V37"/>
      <c r="W37" s="8"/>
      <c r="X37" s="8"/>
      <c r="Y37" t="s">
        <v>146</v>
      </c>
      <c r="Z37" s="8"/>
      <c r="AA37" s="45"/>
      <c r="AB37" s="107" t="str">
        <f t="shared" ref="AB37:AB40" si="1">IF(Y37=B37,"TRUE","FALSE")</f>
        <v>TRUE</v>
      </c>
    </row>
    <row r="38" spans="2:29" ht="14.25" customHeight="1" x14ac:dyDescent="0.25">
      <c r="B38" s="158" t="s">
        <v>182</v>
      </c>
      <c r="C38" s="206" t="s">
        <v>816</v>
      </c>
      <c r="D38" s="146"/>
      <c r="E38" s="151"/>
      <c r="F38"/>
      <c r="G38" s="206" t="s">
        <v>816</v>
      </c>
      <c r="H38" s="146"/>
      <c r="I38" s="151"/>
      <c r="J38"/>
      <c r="K38" s="8"/>
      <c r="L38"/>
      <c r="M38"/>
      <c r="N38"/>
      <c r="O38"/>
      <c r="P38"/>
      <c r="Q38"/>
      <c r="R38" s="8"/>
      <c r="S38" s="8"/>
      <c r="T38" s="69" t="s">
        <v>83</v>
      </c>
      <c r="U38" t="s">
        <v>453</v>
      </c>
      <c r="V38"/>
      <c r="W38" s="45"/>
      <c r="X38" s="6"/>
      <c r="Y38" t="s">
        <v>182</v>
      </c>
      <c r="Z38" s="45"/>
      <c r="AB38" s="107" t="str">
        <f t="shared" si="1"/>
        <v>TRUE</v>
      </c>
    </row>
    <row r="39" spans="2:29" ht="14.25" customHeight="1" x14ac:dyDescent="0.25">
      <c r="B39" s="158" t="s">
        <v>123</v>
      </c>
      <c r="C39" s="206" t="s">
        <v>816</v>
      </c>
      <c r="D39" s="146"/>
      <c r="E39" s="151"/>
      <c r="F39"/>
      <c r="G39" s="206" t="s">
        <v>816</v>
      </c>
      <c r="H39" s="146"/>
      <c r="I39" s="151"/>
      <c r="J39"/>
      <c r="K39" s="8"/>
      <c r="L39"/>
      <c r="M39"/>
      <c r="N39"/>
      <c r="O39"/>
      <c r="P39"/>
      <c r="Q39"/>
      <c r="R39" s="8"/>
      <c r="S39" s="8"/>
      <c r="T39" s="69" t="s">
        <v>137</v>
      </c>
      <c r="U39" t="s">
        <v>453</v>
      </c>
      <c r="V39"/>
      <c r="W39" s="45"/>
      <c r="X39" s="6"/>
      <c r="Y39" t="s">
        <v>123</v>
      </c>
      <c r="Z39" s="45"/>
      <c r="AB39" s="107" t="str">
        <f t="shared" si="1"/>
        <v>TRUE</v>
      </c>
    </row>
    <row r="40" spans="2:29" ht="14.25" customHeight="1" x14ac:dyDescent="0.25">
      <c r="B40" s="158" t="s">
        <v>86</v>
      </c>
      <c r="C40" s="206" t="s">
        <v>816</v>
      </c>
      <c r="D40" s="146"/>
      <c r="E40" s="151"/>
      <c r="F40"/>
      <c r="G40" s="206" t="s">
        <v>816</v>
      </c>
      <c r="H40" s="146"/>
      <c r="I40" s="151"/>
      <c r="J40"/>
      <c r="K40" s="8"/>
      <c r="L40"/>
      <c r="M40"/>
      <c r="N40"/>
      <c r="O40"/>
      <c r="P40"/>
      <c r="Q40"/>
      <c r="R40" s="8"/>
      <c r="S40" s="8"/>
      <c r="T40" s="69" t="s">
        <v>165</v>
      </c>
      <c r="U40" t="str">
        <f>INDEX('Country Code LU'!$B$2:$B$250,MATCH($B40,'Country Code LU'!$A$2:$A$250,0))</f>
        <v>CN</v>
      </c>
      <c r="V40"/>
      <c r="W40" s="45"/>
      <c r="X40" s="6"/>
      <c r="Y40" t="s">
        <v>86</v>
      </c>
      <c r="Z40" s="45"/>
      <c r="AB40" s="107" t="str">
        <f t="shared" si="1"/>
        <v>TRUE</v>
      </c>
    </row>
    <row r="41" spans="2:29" ht="15" x14ac:dyDescent="0.25">
      <c r="B41" s="119" t="s">
        <v>179</v>
      </c>
      <c r="C41" s="206" t="s">
        <v>816</v>
      </c>
      <c r="D41" s="146"/>
      <c r="E41" s="151"/>
      <c r="F41"/>
      <c r="G41" s="206" t="s">
        <v>816</v>
      </c>
      <c r="H41" s="146"/>
      <c r="I41" s="151"/>
      <c r="J41"/>
      <c r="K41"/>
      <c r="L41"/>
      <c r="M41"/>
      <c r="N41"/>
      <c r="O41"/>
      <c r="P41"/>
      <c r="Q41"/>
      <c r="R41" s="8"/>
      <c r="S41" s="8"/>
      <c r="T41" s="37" t="s">
        <v>181</v>
      </c>
      <c r="U41" t="s">
        <v>453</v>
      </c>
      <c r="V41"/>
      <c r="W41" s="8"/>
      <c r="X41" s="8"/>
      <c r="Y41" t="s">
        <v>179</v>
      </c>
      <c r="Z41" s="8"/>
      <c r="AA41" s="46"/>
      <c r="AB41" s="107" t="str">
        <f t="shared" ref="AB41:AB43" si="2">IF(Y41=B41,"TRUE","FALSE")</f>
        <v>TRUE</v>
      </c>
      <c r="AC41" s="70"/>
    </row>
    <row r="42" spans="2:29" ht="14.25" customHeight="1" x14ac:dyDescent="0.25">
      <c r="B42" s="119" t="s">
        <v>210</v>
      </c>
      <c r="C42" s="206" t="s">
        <v>816</v>
      </c>
      <c r="D42" s="146"/>
      <c r="E42" s="151"/>
      <c r="F42"/>
      <c r="G42" s="206" t="s">
        <v>816</v>
      </c>
      <c r="H42" s="146"/>
      <c r="I42" s="151"/>
      <c r="J42"/>
      <c r="K42"/>
      <c r="L42"/>
      <c r="M42"/>
      <c r="N42"/>
      <c r="O42"/>
      <c r="P42"/>
      <c r="Q42"/>
      <c r="R42" s="8"/>
      <c r="S42" s="8"/>
      <c r="T42" s="37" t="s">
        <v>212</v>
      </c>
      <c r="U42" t="s">
        <v>453</v>
      </c>
      <c r="V42"/>
      <c r="W42" s="8"/>
      <c r="X42" s="8"/>
      <c r="Y42" t="s">
        <v>210</v>
      </c>
      <c r="Z42" s="8"/>
      <c r="AA42" s="45"/>
      <c r="AB42" s="107" t="str">
        <f t="shared" si="2"/>
        <v>TRUE</v>
      </c>
    </row>
    <row r="43" spans="2:29" ht="14.25" customHeight="1" x14ac:dyDescent="0.25">
      <c r="B43" s="119" t="s">
        <v>225</v>
      </c>
      <c r="C43" s="206" t="s">
        <v>816</v>
      </c>
      <c r="D43" s="146"/>
      <c r="E43" s="151"/>
      <c r="F43"/>
      <c r="G43" s="206" t="s">
        <v>816</v>
      </c>
      <c r="H43" s="146"/>
      <c r="I43" s="151"/>
      <c r="J43"/>
      <c r="K43"/>
      <c r="L43"/>
      <c r="M43"/>
      <c r="N43"/>
      <c r="O43"/>
      <c r="P43"/>
      <c r="Q43"/>
      <c r="R43" s="8"/>
      <c r="S43" s="8"/>
      <c r="T43" s="37" t="s">
        <v>227</v>
      </c>
      <c r="U43" t="s">
        <v>453</v>
      </c>
      <c r="V43"/>
      <c r="Y43" t="s">
        <v>225</v>
      </c>
      <c r="AB43" s="107" t="str">
        <f t="shared" si="2"/>
        <v>TRUE</v>
      </c>
    </row>
    <row r="44" spans="2:29" ht="15" x14ac:dyDescent="0.25">
      <c r="B44" s="119" t="s">
        <v>90</v>
      </c>
      <c r="C44" s="206" t="s">
        <v>816</v>
      </c>
      <c r="D44" s="146"/>
      <c r="E44" s="151"/>
      <c r="F44"/>
      <c r="G44" s="206" t="s">
        <v>816</v>
      </c>
      <c r="H44" s="146"/>
      <c r="I44" s="151"/>
      <c r="J44"/>
      <c r="K44"/>
      <c r="L44"/>
      <c r="M44"/>
      <c r="N44"/>
      <c r="O44"/>
      <c r="P44"/>
      <c r="Q44"/>
      <c r="R44" s="8"/>
      <c r="S44" s="8"/>
      <c r="T44" s="37" t="s">
        <v>324</v>
      </c>
      <c r="U44" t="str">
        <f>INDEX('Country Code LU'!$B$2:$B$250,MATCH($B44,'Country Code LU'!$A$2:$A$250,0))</f>
        <v>IL</v>
      </c>
      <c r="V44"/>
      <c r="W44" s="8"/>
      <c r="X44" s="8"/>
      <c r="Y44" t="s">
        <v>90</v>
      </c>
      <c r="Z44" s="8"/>
      <c r="AA44" s="67"/>
      <c r="AB44" s="107" t="str">
        <f t="shared" ref="AB44:AB46" si="3">IF(Y44=B44,"TRUE","FALSE")</f>
        <v>TRUE</v>
      </c>
      <c r="AC44" s="47"/>
    </row>
    <row r="45" spans="2:29" ht="14.25" customHeight="1" x14ac:dyDescent="0.25">
      <c r="B45" s="119" t="s">
        <v>330</v>
      </c>
      <c r="C45" s="206" t="s">
        <v>816</v>
      </c>
      <c r="D45" s="146"/>
      <c r="E45" s="151"/>
      <c r="F45"/>
      <c r="G45" s="206" t="s">
        <v>816</v>
      </c>
      <c r="H45" s="146"/>
      <c r="I45" s="151"/>
      <c r="J45"/>
      <c r="K45"/>
      <c r="L45"/>
      <c r="M45"/>
      <c r="N45"/>
      <c r="O45"/>
      <c r="P45"/>
      <c r="Q45"/>
      <c r="R45" s="8"/>
      <c r="S45" s="8"/>
      <c r="T45" s="37" t="s">
        <v>336</v>
      </c>
      <c r="U45" t="s">
        <v>453</v>
      </c>
      <c r="V45"/>
      <c r="W45" s="8"/>
      <c r="X45" s="8"/>
      <c r="Y45" t="s">
        <v>330</v>
      </c>
      <c r="Z45" s="8"/>
      <c r="AA45" s="45"/>
      <c r="AB45" s="107" t="str">
        <f t="shared" si="3"/>
        <v>TRUE</v>
      </c>
    </row>
    <row r="46" spans="2:29" ht="14.25" customHeight="1" x14ac:dyDescent="0.25">
      <c r="B46" s="158" t="s">
        <v>219</v>
      </c>
      <c r="C46" s="206" t="s">
        <v>816</v>
      </c>
      <c r="D46" s="146"/>
      <c r="E46" s="151"/>
      <c r="F46"/>
      <c r="G46" s="206" t="s">
        <v>816</v>
      </c>
      <c r="H46" s="146"/>
      <c r="I46" s="151"/>
      <c r="J46"/>
      <c r="K46" s="8"/>
      <c r="L46"/>
      <c r="M46"/>
      <c r="N46"/>
      <c r="O46"/>
      <c r="P46"/>
      <c r="Q46"/>
      <c r="R46" s="8"/>
      <c r="S46" s="8"/>
      <c r="T46" s="37" t="s">
        <v>236</v>
      </c>
      <c r="U46" t="s">
        <v>453</v>
      </c>
      <c r="V46"/>
      <c r="W46" s="45"/>
      <c r="X46" s="6"/>
      <c r="Y46" t="s">
        <v>219</v>
      </c>
      <c r="Z46" s="45"/>
      <c r="AB46" s="107" t="str">
        <f t="shared" si="3"/>
        <v>TRUE</v>
      </c>
    </row>
    <row r="47" spans="2:29" ht="15" x14ac:dyDescent="0.25">
      <c r="B47" s="119" t="s">
        <v>94</v>
      </c>
      <c r="C47" s="206" t="s">
        <v>816</v>
      </c>
      <c r="D47" s="146"/>
      <c r="E47" s="151"/>
      <c r="F47"/>
      <c r="G47" s="206" t="s">
        <v>816</v>
      </c>
      <c r="H47" s="146"/>
      <c r="I47" s="151"/>
      <c r="J47"/>
      <c r="K47"/>
      <c r="L47"/>
      <c r="M47"/>
      <c r="N47"/>
      <c r="O47"/>
      <c r="P47"/>
      <c r="Q47"/>
      <c r="R47" s="8"/>
      <c r="S47" s="8"/>
      <c r="T47" s="37"/>
      <c r="U47" t="str">
        <f>INDEX('Country Code LU'!$B$2:$B$250,MATCH($B47,'Country Code LU'!$A$2:$A$250,0))</f>
        <v>NZ</v>
      </c>
      <c r="V47"/>
      <c r="W47" s="8"/>
      <c r="X47" s="8"/>
      <c r="Y47" t="s">
        <v>94</v>
      </c>
      <c r="Z47" s="8"/>
      <c r="AA47" s="67"/>
      <c r="AB47" s="107" t="str">
        <f t="shared" ref="AB47:AB50" si="4">IF(Y47=B47,"TRUE","FALSE")</f>
        <v>TRUE</v>
      </c>
      <c r="AC47" s="47"/>
    </row>
    <row r="48" spans="2:29" ht="14.25" customHeight="1" x14ac:dyDescent="0.25">
      <c r="B48" s="119" t="s">
        <v>357</v>
      </c>
      <c r="C48" s="206" t="s">
        <v>816</v>
      </c>
      <c r="D48" s="146"/>
      <c r="E48" s="151"/>
      <c r="F48"/>
      <c r="G48" s="206" t="s">
        <v>816</v>
      </c>
      <c r="H48" s="146"/>
      <c r="I48" s="151"/>
      <c r="J48"/>
      <c r="K48"/>
      <c r="L48"/>
      <c r="M48"/>
      <c r="N48"/>
      <c r="O48"/>
      <c r="P48"/>
      <c r="Q48"/>
      <c r="R48" s="8"/>
      <c r="S48" s="8"/>
      <c r="T48" s="37" t="s">
        <v>352</v>
      </c>
      <c r="U48" t="s">
        <v>453</v>
      </c>
      <c r="V48"/>
      <c r="W48" s="8"/>
      <c r="X48" s="8"/>
      <c r="Y48" t="s">
        <v>357</v>
      </c>
      <c r="Z48" s="8"/>
      <c r="AA48" s="45"/>
      <c r="AB48" s="107" t="str">
        <f t="shared" si="4"/>
        <v>TRUE</v>
      </c>
    </row>
    <row r="49" spans="2:29" ht="14.25" customHeight="1" x14ac:dyDescent="0.25">
      <c r="B49" s="158" t="s">
        <v>436</v>
      </c>
      <c r="C49" s="206" t="s">
        <v>816</v>
      </c>
      <c r="D49" s="146"/>
      <c r="E49" s="151"/>
      <c r="F49"/>
      <c r="G49" s="206" t="s">
        <v>816</v>
      </c>
      <c r="H49" s="146"/>
      <c r="I49" s="151"/>
      <c r="J49"/>
      <c r="K49" s="8"/>
      <c r="L49"/>
      <c r="M49"/>
      <c r="N49"/>
      <c r="O49"/>
      <c r="P49"/>
      <c r="Q49"/>
      <c r="R49" s="8"/>
      <c r="S49" s="8"/>
      <c r="T49" s="37" t="s">
        <v>435</v>
      </c>
      <c r="U49" t="s">
        <v>453</v>
      </c>
      <c r="V49"/>
      <c r="W49" s="45"/>
      <c r="X49" s="6"/>
      <c r="Y49" t="s">
        <v>436</v>
      </c>
      <c r="Z49" s="45"/>
      <c r="AB49" s="107" t="str">
        <f t="shared" si="4"/>
        <v>TRUE</v>
      </c>
    </row>
    <row r="50" spans="2:29" ht="14.25" customHeight="1" x14ac:dyDescent="0.25">
      <c r="B50" s="158" t="s">
        <v>98</v>
      </c>
      <c r="C50" s="206" t="s">
        <v>816</v>
      </c>
      <c r="D50" s="146"/>
      <c r="E50" s="151"/>
      <c r="F50"/>
      <c r="G50" s="206" t="s">
        <v>816</v>
      </c>
      <c r="H50" s="146"/>
      <c r="I50" s="151"/>
      <c r="J50"/>
      <c r="K50" s="8"/>
      <c r="L50"/>
      <c r="M50"/>
      <c r="N50"/>
      <c r="O50"/>
      <c r="P50"/>
      <c r="Q50"/>
      <c r="R50" s="8"/>
      <c r="S50" s="8"/>
      <c r="T50" s="37" t="s">
        <v>443</v>
      </c>
      <c r="U50" t="str">
        <f>INDEX('Country Code LU'!$B$2:$B$250,MATCH($B50,'Country Code LU'!$A$2:$A$250,0))</f>
        <v>SG</v>
      </c>
      <c r="V50"/>
      <c r="W50" s="45"/>
      <c r="X50" s="6"/>
      <c r="Y50" t="s">
        <v>98</v>
      </c>
      <c r="Z50" s="45"/>
      <c r="AB50" s="107" t="str">
        <f t="shared" si="4"/>
        <v>TRUE</v>
      </c>
    </row>
    <row r="51" spans="2:29" ht="15" hidden="1" x14ac:dyDescent="0.25">
      <c r="B51" s="202" t="s">
        <v>102</v>
      </c>
      <c r="C51" s="206" t="s">
        <v>816</v>
      </c>
      <c r="D51" s="146"/>
      <c r="E51" s="151"/>
      <c r="F51"/>
      <c r="G51" s="206" t="s">
        <v>816</v>
      </c>
      <c r="H51" s="146"/>
      <c r="I51" s="151"/>
      <c r="J51"/>
      <c r="K51"/>
      <c r="L51"/>
      <c r="M51"/>
      <c r="N51"/>
      <c r="O51"/>
      <c r="P51"/>
      <c r="Q51"/>
      <c r="R51" s="8"/>
      <c r="S51" s="8"/>
      <c r="T51" s="69"/>
      <c r="U51" t="s">
        <v>453</v>
      </c>
      <c r="V51"/>
      <c r="W51" s="8"/>
      <c r="X51" s="8"/>
      <c r="Y51" t="s">
        <v>102</v>
      </c>
      <c r="Z51" s="8"/>
      <c r="AA51" s="67"/>
      <c r="AB51" s="107" t="str">
        <f t="shared" ref="AB51:AB54" si="5">IF(Y51=B51,"TRUE","FALSE")</f>
        <v>TRUE</v>
      </c>
      <c r="AC51" s="47"/>
    </row>
    <row r="52" spans="2:29" ht="15" x14ac:dyDescent="0.25">
      <c r="B52" s="202" t="s">
        <v>362</v>
      </c>
      <c r="C52" s="206" t="s">
        <v>816</v>
      </c>
      <c r="D52" s="146"/>
      <c r="E52" s="151"/>
      <c r="F52"/>
      <c r="G52" s="206" t="s">
        <v>816</v>
      </c>
      <c r="H52" s="146"/>
      <c r="I52" s="151"/>
      <c r="J52"/>
      <c r="K52"/>
      <c r="L52"/>
      <c r="M52"/>
      <c r="N52"/>
      <c r="O52"/>
      <c r="P52"/>
      <c r="Q52"/>
      <c r="R52" s="8"/>
      <c r="S52" s="8"/>
      <c r="T52" s="69"/>
      <c r="U52" t="str">
        <f>INDEX('Country Code LU'!$B$2:$B$250,MATCH($B52,'Country Code LU'!$A$2:$A$250,0))</f>
        <v>TH</v>
      </c>
      <c r="V52"/>
      <c r="W52" s="8"/>
      <c r="X52" s="8"/>
      <c r="Y52" t="s">
        <v>362</v>
      </c>
      <c r="Z52" s="8"/>
      <c r="AA52" s="67"/>
      <c r="AB52" s="107" t="str">
        <f t="shared" si="5"/>
        <v>TRUE</v>
      </c>
      <c r="AC52" s="47"/>
    </row>
    <row r="53" spans="2:29" ht="14.25" customHeight="1" x14ac:dyDescent="0.25">
      <c r="B53" s="202" t="s">
        <v>386</v>
      </c>
      <c r="C53" s="206" t="s">
        <v>816</v>
      </c>
      <c r="D53" s="146"/>
      <c r="E53" s="151"/>
      <c r="F53"/>
      <c r="G53" s="206" t="s">
        <v>816</v>
      </c>
      <c r="H53" s="146"/>
      <c r="I53" s="151"/>
      <c r="J53"/>
      <c r="K53"/>
      <c r="L53"/>
      <c r="M53"/>
      <c r="N53"/>
      <c r="O53"/>
      <c r="P53"/>
      <c r="Q53"/>
      <c r="R53" s="8"/>
      <c r="S53" s="8"/>
      <c r="T53" s="69" t="s">
        <v>103</v>
      </c>
      <c r="U53" t="str">
        <f>INDEX('Country Code LU'!$B$2:$B$250,MATCH($B53,'Country Code LU'!$A$2:$A$250,0))</f>
        <v>TR</v>
      </c>
      <c r="V53"/>
      <c r="W53" s="8"/>
      <c r="X53" s="8"/>
      <c r="Y53" t="s">
        <v>386</v>
      </c>
      <c r="Z53" s="8"/>
      <c r="AA53" s="45"/>
      <c r="AB53" s="107" t="str">
        <f t="shared" si="5"/>
        <v>TRUE</v>
      </c>
    </row>
    <row r="54" spans="2:29" ht="14.25" customHeight="1" x14ac:dyDescent="0.25">
      <c r="B54" s="202" t="s">
        <v>417</v>
      </c>
      <c r="C54" s="206" t="s">
        <v>816</v>
      </c>
      <c r="D54" s="146"/>
      <c r="E54" s="151"/>
      <c r="F54"/>
      <c r="G54" s="206" t="s">
        <v>816</v>
      </c>
      <c r="H54" s="146"/>
      <c r="I54" s="151"/>
      <c r="J54"/>
      <c r="K54"/>
      <c r="L54"/>
      <c r="M54"/>
      <c r="N54"/>
      <c r="O54"/>
      <c r="P54"/>
      <c r="Q54"/>
      <c r="R54" s="8"/>
      <c r="S54" s="8"/>
      <c r="T54" s="69" t="s">
        <v>388</v>
      </c>
      <c r="U54" t="s">
        <v>453</v>
      </c>
      <c r="V54"/>
      <c r="W54" s="45"/>
      <c r="X54" s="6"/>
      <c r="Y54" t="s">
        <v>417</v>
      </c>
      <c r="AB54" s="107" t="str">
        <f t="shared" si="5"/>
        <v>TRUE</v>
      </c>
    </row>
    <row r="55" spans="2:29" ht="14.25" customHeight="1" x14ac:dyDescent="0.25">
      <c r="B55"/>
      <c r="C55"/>
      <c r="D55"/>
      <c r="E55"/>
      <c r="F55"/>
      <c r="G55"/>
      <c r="H55"/>
      <c r="I55"/>
      <c r="J55"/>
      <c r="K55" s="8"/>
      <c r="L55"/>
      <c r="M55"/>
      <c r="N55"/>
      <c r="O55"/>
      <c r="P55"/>
      <c r="Q55"/>
      <c r="R55" s="8"/>
      <c r="S55" s="8"/>
      <c r="T55" s="97"/>
      <c r="U55"/>
      <c r="V55" s="8"/>
      <c r="W55" s="45"/>
      <c r="X55" s="6"/>
      <c r="Z55" s="45"/>
    </row>
    <row r="56" spans="2:29" ht="14.25" customHeight="1" x14ac:dyDescent="0.25">
      <c r="B56"/>
      <c r="C56"/>
      <c r="D56"/>
      <c r="E56"/>
      <c r="F56"/>
      <c r="G56"/>
      <c r="H56"/>
      <c r="I56"/>
      <c r="J56"/>
      <c r="K56" s="8"/>
      <c r="L56"/>
      <c r="M56"/>
      <c r="N56"/>
      <c r="O56"/>
      <c r="P56"/>
      <c r="Q56"/>
      <c r="R56" s="8"/>
      <c r="S56" s="8"/>
      <c r="T56"/>
      <c r="U56"/>
      <c r="V56" s="8"/>
      <c r="W56" s="45"/>
      <c r="X56" s="6"/>
      <c r="Z56" s="45"/>
    </row>
    <row r="57" spans="2:29" ht="14.25" customHeight="1" x14ac:dyDescent="0.25">
      <c r="B57"/>
      <c r="C57"/>
      <c r="D57"/>
      <c r="E57"/>
      <c r="F57"/>
      <c r="G57"/>
      <c r="H57"/>
      <c r="I57"/>
      <c r="J57"/>
      <c r="K57" s="8"/>
      <c r="L57"/>
      <c r="M57"/>
      <c r="N57"/>
      <c r="O57"/>
      <c r="P57"/>
      <c r="Q57"/>
      <c r="R57" s="8"/>
      <c r="S57" s="8"/>
      <c r="T57"/>
      <c r="U57"/>
      <c r="V57" s="8"/>
      <c r="W57" s="45"/>
      <c r="X57" s="6"/>
      <c r="Z57" s="45"/>
    </row>
    <row r="58" spans="2:29" ht="14.25" customHeight="1" x14ac:dyDescent="0.25">
      <c r="B58"/>
      <c r="C58"/>
      <c r="D58"/>
      <c r="E58"/>
      <c r="F58"/>
      <c r="G58"/>
      <c r="H58"/>
      <c r="I58"/>
      <c r="J58"/>
      <c r="K58" s="8"/>
      <c r="L58"/>
      <c r="M58"/>
      <c r="N58"/>
      <c r="O58"/>
      <c r="P58"/>
      <c r="Q58"/>
      <c r="R58" s="8"/>
      <c r="S58" s="8"/>
      <c r="T58" s="96"/>
      <c r="U58"/>
      <c r="V58" s="8"/>
      <c r="W58" s="45"/>
      <c r="X58" s="6"/>
      <c r="Z58" s="45"/>
    </row>
    <row r="59" spans="2:29" ht="16.5" customHeight="1" x14ac:dyDescent="0.25">
      <c r="B59"/>
      <c r="C59"/>
      <c r="D59"/>
      <c r="E59"/>
      <c r="F59"/>
      <c r="G59"/>
      <c r="H59"/>
      <c r="I59"/>
      <c r="J59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45"/>
      <c r="X59" s="6"/>
      <c r="Z59" s="45"/>
    </row>
    <row r="60" spans="2:29" ht="15.75" customHeight="1" x14ac:dyDescent="0.25">
      <c r="C60"/>
      <c r="D60"/>
      <c r="E60"/>
      <c r="F60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45"/>
      <c r="X60" s="6"/>
      <c r="Z60" s="45"/>
    </row>
    <row r="61" spans="2:29" ht="15" customHeight="1" x14ac:dyDescent="0.25">
      <c r="B61" s="52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/>
      <c r="O61"/>
      <c r="P61"/>
      <c r="Q61"/>
      <c r="R61" s="8"/>
      <c r="S61" s="8"/>
      <c r="T61" s="8"/>
      <c r="U61" s="8"/>
      <c r="V61" s="8"/>
      <c r="W61" s="8"/>
      <c r="X61" s="8"/>
      <c r="Y61" s="8"/>
      <c r="Z61" s="8"/>
    </row>
    <row r="62" spans="2:29" ht="14.25" customHeight="1" x14ac:dyDescent="0.25"/>
    <row r="63" spans="2:29" ht="14.25" customHeight="1" x14ac:dyDescent="0.25"/>
    <row r="64" spans="2:29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</sheetData>
  <mergeCells count="34">
    <mergeCell ref="C34:E34"/>
    <mergeCell ref="G34:I34"/>
    <mergeCell ref="C35:E35"/>
    <mergeCell ref="G35:I35"/>
    <mergeCell ref="N35:Q35"/>
    <mergeCell ref="E25:F25"/>
    <mergeCell ref="M25:N25"/>
    <mergeCell ref="B32:C32"/>
    <mergeCell ref="D32:F32"/>
    <mergeCell ref="G32:H32"/>
    <mergeCell ref="I32:K32"/>
    <mergeCell ref="L32:M32"/>
    <mergeCell ref="N32:Q32"/>
    <mergeCell ref="M24:N24"/>
    <mergeCell ref="B7:C7"/>
    <mergeCell ref="D7:F7"/>
    <mergeCell ref="G7:H7"/>
    <mergeCell ref="I7:K7"/>
    <mergeCell ref="L7:M7"/>
    <mergeCell ref="N7:Q7"/>
    <mergeCell ref="C10:E10"/>
    <mergeCell ref="G10:I10"/>
    <mergeCell ref="C11:E11"/>
    <mergeCell ref="G11:I11"/>
    <mergeCell ref="E24:F24"/>
    <mergeCell ref="G2:J2"/>
    <mergeCell ref="K2:N2"/>
    <mergeCell ref="G4:N4"/>
    <mergeCell ref="B6:C6"/>
    <mergeCell ref="D6:F6"/>
    <mergeCell ref="G6:H6"/>
    <mergeCell ref="I6:K6"/>
    <mergeCell ref="L6:M6"/>
    <mergeCell ref="N6:Q6"/>
  </mergeCells>
  <conditionalFormatting sqref="C21 G21">
    <cfRule type="containsText" dxfId="8" priority="41" operator="containsText" text="La Poste">
      <formula>NOT(ISERROR(SEARCH("La Poste",C21)))</formula>
    </cfRule>
    <cfRule type="containsText" dxfId="7" priority="42" operator="containsText" text="Swiss Post">
      <formula>NOT(ISERROR(SEARCH("Swiss Post",C21)))</formula>
    </cfRule>
  </conditionalFormatting>
  <conditionalFormatting sqref="F37:F54 J37:J54">
    <cfRule type="cellIs" dxfId="6" priority="16" operator="equal">
      <formula>"SP"</formula>
    </cfRule>
  </conditionalFormatting>
  <conditionalFormatting sqref="J60:K60">
    <cfRule type="expression" dxfId="5" priority="47">
      <formula>IF(#REF!="EUR",1,0)</formula>
    </cfRule>
  </conditionalFormatting>
  <conditionalFormatting sqref="K58:K59">
    <cfRule type="expression" dxfId="4" priority="45">
      <formula>IF(#REF!="EUR",1,0)</formula>
    </cfRule>
  </conditionalFormatting>
  <conditionalFormatting sqref="O25:P25 O26:Q28">
    <cfRule type="cellIs" dxfId="3" priority="62" operator="equal">
      <formula>0</formula>
    </cfRule>
  </conditionalFormatting>
  <conditionalFormatting sqref="R43 T43">
    <cfRule type="expression" dxfId="2" priority="57">
      <formula>IF(#REF!="EUR",1,0)</formula>
    </cfRule>
  </conditionalFormatting>
  <conditionalFormatting sqref="R54 T54">
    <cfRule type="expression" dxfId="1" priority="48">
      <formula>IF(#REF!="EUR",1,0)</formula>
    </cfRule>
  </conditionalFormatting>
  <conditionalFormatting sqref="T13:T18 W13:W18 Y13:Z18 W37 Z37 S37:T39 Y38 S41:T42 W41:W42 Z41:Z42 W44:W45 Z44:Z45 S44:T49 Y47 W47:W48 Z47:Z48 S51:T53 W51:W53 Y51:Z53">
    <cfRule type="expression" dxfId="0" priority="60">
      <formula>IF(#REF!="EUR",1,0)</formula>
    </cfRule>
  </conditionalFormatting>
  <printOptions horizontalCentered="1" verticalCentered="1"/>
  <pageMargins left="0.23622047244094491" right="0.23622047244094491" top="0.23622047244094491" bottom="0.23622047244094491" header="0.31496062992125984" footer="0.31496062992125984"/>
  <pageSetup paperSize="9" scale="75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B63BA-F572-4F78-A96E-92CDCA902796}">
  <dimension ref="A1:D250"/>
  <sheetViews>
    <sheetView topLeftCell="A118" workbookViewId="0">
      <selection activeCell="A129" sqref="A129"/>
    </sheetView>
  </sheetViews>
  <sheetFormatPr defaultColWidth="9.140625" defaultRowHeight="15" x14ac:dyDescent="0.25"/>
  <cols>
    <col min="1" max="1" width="54.5703125" style="102" bestFit="1" customWidth="1"/>
    <col min="2" max="16384" width="9.140625" style="102"/>
  </cols>
  <sheetData>
    <row r="1" spans="1:4" x14ac:dyDescent="0.25">
      <c r="A1" s="102" t="s">
        <v>495</v>
      </c>
      <c r="B1" s="102" t="s">
        <v>496</v>
      </c>
      <c r="C1" s="102" t="s">
        <v>497</v>
      </c>
      <c r="D1" s="102" t="s">
        <v>498</v>
      </c>
    </row>
    <row r="2" spans="1:4" x14ac:dyDescent="0.25">
      <c r="A2" s="102" t="s">
        <v>469</v>
      </c>
      <c r="B2" s="102" t="s">
        <v>494</v>
      </c>
      <c r="C2" s="102" t="s">
        <v>499</v>
      </c>
      <c r="D2" s="102">
        <v>4</v>
      </c>
    </row>
    <row r="3" spans="1:4" x14ac:dyDescent="0.25">
      <c r="A3" s="102" t="s">
        <v>106</v>
      </c>
      <c r="B3" s="102" t="s">
        <v>108</v>
      </c>
      <c r="C3" s="102" t="s">
        <v>500</v>
      </c>
      <c r="D3" s="102">
        <v>8</v>
      </c>
    </row>
    <row r="4" spans="1:4" x14ac:dyDescent="0.25">
      <c r="A4" s="102" t="s">
        <v>110</v>
      </c>
      <c r="B4" s="102" t="s">
        <v>112</v>
      </c>
      <c r="C4" s="102" t="s">
        <v>501</v>
      </c>
      <c r="D4" s="102">
        <v>12</v>
      </c>
    </row>
    <row r="5" spans="1:4" x14ac:dyDescent="0.25">
      <c r="A5" s="102" t="s">
        <v>114</v>
      </c>
      <c r="B5" s="102" t="s">
        <v>116</v>
      </c>
      <c r="C5" s="102" t="s">
        <v>502</v>
      </c>
      <c r="D5" s="102">
        <v>16</v>
      </c>
    </row>
    <row r="6" spans="1:4" x14ac:dyDescent="0.25">
      <c r="A6" s="102" t="s">
        <v>470</v>
      </c>
      <c r="B6" s="102" t="s">
        <v>503</v>
      </c>
      <c r="C6" s="102" t="s">
        <v>504</v>
      </c>
      <c r="D6" s="102">
        <v>20</v>
      </c>
    </row>
    <row r="7" spans="1:4" x14ac:dyDescent="0.25">
      <c r="A7" s="102" t="s">
        <v>118</v>
      </c>
      <c r="B7" s="102" t="s">
        <v>120</v>
      </c>
      <c r="C7" s="102" t="s">
        <v>505</v>
      </c>
      <c r="D7" s="102">
        <v>24</v>
      </c>
    </row>
    <row r="8" spans="1:4" x14ac:dyDescent="0.25">
      <c r="A8" s="102" t="s">
        <v>122</v>
      </c>
      <c r="B8" s="102" t="s">
        <v>124</v>
      </c>
      <c r="C8" s="102" t="s">
        <v>506</v>
      </c>
      <c r="D8" s="102">
        <v>660</v>
      </c>
    </row>
    <row r="9" spans="1:4" x14ac:dyDescent="0.25">
      <c r="A9" s="102" t="s">
        <v>126</v>
      </c>
      <c r="B9" s="102" t="s">
        <v>128</v>
      </c>
      <c r="C9" s="102" t="s">
        <v>507</v>
      </c>
      <c r="D9" s="102">
        <v>10</v>
      </c>
    </row>
    <row r="10" spans="1:4" x14ac:dyDescent="0.25">
      <c r="A10" s="102" t="s">
        <v>508</v>
      </c>
      <c r="B10" s="102" t="s">
        <v>132</v>
      </c>
      <c r="C10" s="102" t="s">
        <v>509</v>
      </c>
      <c r="D10" s="102">
        <v>28</v>
      </c>
    </row>
    <row r="11" spans="1:4" x14ac:dyDescent="0.25">
      <c r="A11" s="102" t="s">
        <v>134</v>
      </c>
      <c r="B11" s="102" t="s">
        <v>136</v>
      </c>
      <c r="C11" s="102" t="s">
        <v>510</v>
      </c>
      <c r="D11" s="102">
        <v>32</v>
      </c>
    </row>
    <row r="12" spans="1:4" x14ac:dyDescent="0.25">
      <c r="A12" s="102" t="s">
        <v>138</v>
      </c>
      <c r="B12" s="102" t="s">
        <v>140</v>
      </c>
      <c r="C12" s="102" t="s">
        <v>511</v>
      </c>
      <c r="D12" s="102">
        <v>51</v>
      </c>
    </row>
    <row r="13" spans="1:4" x14ac:dyDescent="0.25">
      <c r="A13" s="102" t="s">
        <v>142</v>
      </c>
      <c r="B13" s="102" t="s">
        <v>144</v>
      </c>
      <c r="C13" s="102" t="s">
        <v>512</v>
      </c>
      <c r="D13" s="102">
        <v>533</v>
      </c>
    </row>
    <row r="14" spans="1:4" x14ac:dyDescent="0.25">
      <c r="A14" s="102" t="s">
        <v>80</v>
      </c>
      <c r="B14" s="102" t="s">
        <v>81</v>
      </c>
      <c r="C14" s="102" t="s">
        <v>513</v>
      </c>
      <c r="D14" s="102">
        <v>36</v>
      </c>
    </row>
    <row r="15" spans="1:4" x14ac:dyDescent="0.25">
      <c r="A15" s="102" t="s">
        <v>19</v>
      </c>
      <c r="B15" s="102" t="s">
        <v>18</v>
      </c>
      <c r="C15" s="102" t="s">
        <v>514</v>
      </c>
      <c r="D15" s="102">
        <v>40</v>
      </c>
    </row>
    <row r="16" spans="1:4" x14ac:dyDescent="0.25">
      <c r="A16" s="102" t="s">
        <v>146</v>
      </c>
      <c r="B16" s="102" t="s">
        <v>148</v>
      </c>
      <c r="C16" s="102" t="s">
        <v>515</v>
      </c>
      <c r="D16" s="102">
        <v>31</v>
      </c>
    </row>
    <row r="17" spans="1:4" x14ac:dyDescent="0.25">
      <c r="A17" s="102" t="s">
        <v>471</v>
      </c>
      <c r="B17" s="102" t="s">
        <v>516</v>
      </c>
      <c r="C17" s="102" t="s">
        <v>517</v>
      </c>
      <c r="D17" s="102">
        <v>44</v>
      </c>
    </row>
    <row r="18" spans="1:4" x14ac:dyDescent="0.25">
      <c r="A18" s="102" t="s">
        <v>150</v>
      </c>
      <c r="B18" s="102" t="s">
        <v>152</v>
      </c>
      <c r="C18" s="102" t="s">
        <v>518</v>
      </c>
      <c r="D18" s="102">
        <v>48</v>
      </c>
    </row>
    <row r="19" spans="1:4" x14ac:dyDescent="0.25">
      <c r="A19" s="102" t="s">
        <v>484</v>
      </c>
      <c r="B19" s="102" t="s">
        <v>519</v>
      </c>
      <c r="C19" s="102" t="s">
        <v>520</v>
      </c>
      <c r="D19" s="102">
        <v>50</v>
      </c>
    </row>
    <row r="20" spans="1:4" x14ac:dyDescent="0.25">
      <c r="A20" s="102" t="s">
        <v>154</v>
      </c>
      <c r="B20" s="102" t="s">
        <v>156</v>
      </c>
      <c r="C20" s="102" t="s">
        <v>521</v>
      </c>
      <c r="D20" s="102">
        <v>52</v>
      </c>
    </row>
    <row r="21" spans="1:4" x14ac:dyDescent="0.25">
      <c r="A21" s="102" t="s">
        <v>158</v>
      </c>
      <c r="B21" s="102" t="s">
        <v>160</v>
      </c>
      <c r="C21" s="102" t="s">
        <v>522</v>
      </c>
      <c r="D21" s="102">
        <v>112</v>
      </c>
    </row>
    <row r="22" spans="1:4" x14ac:dyDescent="0.25">
      <c r="A22" s="102" t="s">
        <v>23</v>
      </c>
      <c r="B22" s="102" t="s">
        <v>22</v>
      </c>
      <c r="C22" s="102" t="s">
        <v>523</v>
      </c>
      <c r="D22" s="102">
        <v>56</v>
      </c>
    </row>
    <row r="23" spans="1:4" x14ac:dyDescent="0.25">
      <c r="A23" s="102" t="s">
        <v>162</v>
      </c>
      <c r="B23" s="102" t="s">
        <v>164</v>
      </c>
      <c r="C23" s="102" t="s">
        <v>524</v>
      </c>
      <c r="D23" s="102">
        <v>84</v>
      </c>
    </row>
    <row r="24" spans="1:4" x14ac:dyDescent="0.25">
      <c r="A24" s="102" t="s">
        <v>166</v>
      </c>
      <c r="B24" s="102" t="s">
        <v>168</v>
      </c>
      <c r="C24" s="102" t="s">
        <v>525</v>
      </c>
      <c r="D24" s="102">
        <v>204</v>
      </c>
    </row>
    <row r="25" spans="1:4" x14ac:dyDescent="0.25">
      <c r="A25" s="102" t="s">
        <v>170</v>
      </c>
      <c r="B25" s="102" t="s">
        <v>172</v>
      </c>
      <c r="C25" s="102" t="s">
        <v>526</v>
      </c>
      <c r="D25" s="102">
        <v>60</v>
      </c>
    </row>
    <row r="26" spans="1:4" x14ac:dyDescent="0.25">
      <c r="A26" s="102" t="s">
        <v>174</v>
      </c>
      <c r="B26" s="102" t="s">
        <v>176</v>
      </c>
      <c r="C26" s="102" t="s">
        <v>527</v>
      </c>
      <c r="D26" s="102">
        <v>64</v>
      </c>
    </row>
    <row r="27" spans="1:4" x14ac:dyDescent="0.25">
      <c r="A27" s="102" t="s">
        <v>178</v>
      </c>
      <c r="B27" s="102" t="s">
        <v>180</v>
      </c>
      <c r="C27" s="102" t="s">
        <v>528</v>
      </c>
      <c r="D27" s="102">
        <v>68</v>
      </c>
    </row>
    <row r="28" spans="1:4" x14ac:dyDescent="0.25">
      <c r="A28" s="102" t="s">
        <v>529</v>
      </c>
      <c r="B28" s="102" t="s">
        <v>530</v>
      </c>
      <c r="C28" s="102" t="s">
        <v>531</v>
      </c>
      <c r="D28" s="102">
        <v>535</v>
      </c>
    </row>
    <row r="29" spans="1:4" x14ac:dyDescent="0.25">
      <c r="A29" s="102" t="s">
        <v>182</v>
      </c>
      <c r="B29" s="102" t="s">
        <v>184</v>
      </c>
      <c r="C29" s="102" t="s">
        <v>532</v>
      </c>
      <c r="D29" s="102">
        <v>70</v>
      </c>
    </row>
    <row r="30" spans="1:4" x14ac:dyDescent="0.25">
      <c r="A30" s="102" t="s">
        <v>472</v>
      </c>
      <c r="B30" s="102" t="s">
        <v>533</v>
      </c>
      <c r="C30" s="102" t="s">
        <v>534</v>
      </c>
      <c r="D30" s="102">
        <v>72</v>
      </c>
    </row>
    <row r="31" spans="1:4" x14ac:dyDescent="0.25">
      <c r="A31" s="102" t="s">
        <v>186</v>
      </c>
      <c r="B31" s="102" t="s">
        <v>187</v>
      </c>
      <c r="C31" s="102" t="s">
        <v>535</v>
      </c>
      <c r="D31" s="102">
        <v>74</v>
      </c>
    </row>
    <row r="32" spans="1:4" x14ac:dyDescent="0.25">
      <c r="A32" s="102" t="s">
        <v>82</v>
      </c>
      <c r="B32" s="102" t="s">
        <v>83</v>
      </c>
      <c r="C32" s="102" t="s">
        <v>536</v>
      </c>
      <c r="D32" s="102">
        <v>76</v>
      </c>
    </row>
    <row r="33" spans="1:4" x14ac:dyDescent="0.25">
      <c r="A33" s="102" t="s">
        <v>107</v>
      </c>
      <c r="B33" s="102" t="s">
        <v>109</v>
      </c>
      <c r="C33" s="102" t="s">
        <v>537</v>
      </c>
      <c r="D33" s="102">
        <v>86</v>
      </c>
    </row>
    <row r="34" spans="1:4" x14ac:dyDescent="0.25">
      <c r="A34" s="102" t="s">
        <v>473</v>
      </c>
      <c r="B34" s="102" t="s">
        <v>538</v>
      </c>
      <c r="C34" s="102" t="s">
        <v>539</v>
      </c>
      <c r="D34" s="102">
        <v>96</v>
      </c>
    </row>
    <row r="35" spans="1:4" x14ac:dyDescent="0.25">
      <c r="A35" s="102" t="s">
        <v>111</v>
      </c>
      <c r="B35" s="102" t="s">
        <v>113</v>
      </c>
      <c r="C35" s="102" t="s">
        <v>540</v>
      </c>
      <c r="D35" s="102">
        <v>100</v>
      </c>
    </row>
    <row r="36" spans="1:4" x14ac:dyDescent="0.25">
      <c r="A36" s="102" t="s">
        <v>115</v>
      </c>
      <c r="B36" s="102" t="s">
        <v>117</v>
      </c>
      <c r="C36" s="102" t="s">
        <v>541</v>
      </c>
      <c r="D36" s="102">
        <v>854</v>
      </c>
    </row>
    <row r="37" spans="1:4" x14ac:dyDescent="0.25">
      <c r="A37" s="102" t="s">
        <v>119</v>
      </c>
      <c r="B37" s="102" t="s">
        <v>121</v>
      </c>
      <c r="C37" s="102" t="s">
        <v>542</v>
      </c>
      <c r="D37" s="102">
        <v>108</v>
      </c>
    </row>
    <row r="38" spans="1:4" x14ac:dyDescent="0.25">
      <c r="A38" s="102" t="s">
        <v>131</v>
      </c>
      <c r="B38" s="102" t="s">
        <v>133</v>
      </c>
      <c r="C38" s="102" t="s">
        <v>543</v>
      </c>
      <c r="D38" s="102">
        <v>132</v>
      </c>
    </row>
    <row r="39" spans="1:4" x14ac:dyDescent="0.25">
      <c r="A39" s="102" t="s">
        <v>123</v>
      </c>
      <c r="B39" s="102" t="s">
        <v>125</v>
      </c>
      <c r="C39" s="102" t="s">
        <v>544</v>
      </c>
      <c r="D39" s="102">
        <v>116</v>
      </c>
    </row>
    <row r="40" spans="1:4" x14ac:dyDescent="0.25">
      <c r="A40" s="102" t="s">
        <v>127</v>
      </c>
      <c r="B40" s="102" t="s">
        <v>129</v>
      </c>
      <c r="C40" s="102" t="s">
        <v>545</v>
      </c>
      <c r="D40" s="102">
        <v>120</v>
      </c>
    </row>
    <row r="41" spans="1:4" x14ac:dyDescent="0.25">
      <c r="A41" s="102" t="s">
        <v>84</v>
      </c>
      <c r="B41" s="102" t="s">
        <v>85</v>
      </c>
      <c r="C41" s="102" t="s">
        <v>546</v>
      </c>
      <c r="D41" s="102">
        <v>124</v>
      </c>
    </row>
    <row r="42" spans="1:4" x14ac:dyDescent="0.25">
      <c r="A42" s="102" t="s">
        <v>135</v>
      </c>
      <c r="B42" s="102" t="s">
        <v>137</v>
      </c>
      <c r="C42" s="102" t="s">
        <v>547</v>
      </c>
      <c r="D42" s="102">
        <v>136</v>
      </c>
    </row>
    <row r="43" spans="1:4" x14ac:dyDescent="0.25">
      <c r="A43" s="102" t="s">
        <v>139</v>
      </c>
      <c r="B43" s="102" t="s">
        <v>141</v>
      </c>
      <c r="C43" s="102" t="s">
        <v>548</v>
      </c>
      <c r="D43" s="102">
        <v>140</v>
      </c>
    </row>
    <row r="44" spans="1:4" x14ac:dyDescent="0.25">
      <c r="A44" s="102" t="s">
        <v>143</v>
      </c>
      <c r="B44" s="102" t="s">
        <v>145</v>
      </c>
      <c r="C44" s="102" t="s">
        <v>549</v>
      </c>
      <c r="D44" s="102">
        <v>148</v>
      </c>
    </row>
    <row r="45" spans="1:4" x14ac:dyDescent="0.25">
      <c r="A45" s="102" t="s">
        <v>147</v>
      </c>
      <c r="B45" s="102" t="s">
        <v>149</v>
      </c>
      <c r="C45" s="102" t="s">
        <v>550</v>
      </c>
      <c r="D45" s="102">
        <v>152</v>
      </c>
    </row>
    <row r="46" spans="1:4" x14ac:dyDescent="0.25">
      <c r="A46" s="102" t="s">
        <v>86</v>
      </c>
      <c r="B46" s="102" t="s">
        <v>87</v>
      </c>
      <c r="C46" s="102" t="s">
        <v>551</v>
      </c>
      <c r="D46" s="102">
        <v>156</v>
      </c>
    </row>
    <row r="47" spans="1:4" x14ac:dyDescent="0.25">
      <c r="A47" s="102" t="s">
        <v>151</v>
      </c>
      <c r="B47" s="102" t="s">
        <v>153</v>
      </c>
      <c r="C47" s="102" t="s">
        <v>552</v>
      </c>
      <c r="D47" s="102">
        <v>162</v>
      </c>
    </row>
    <row r="48" spans="1:4" x14ac:dyDescent="0.25">
      <c r="A48" s="102" t="s">
        <v>155</v>
      </c>
      <c r="B48" s="102" t="s">
        <v>157</v>
      </c>
      <c r="C48" s="102" t="s">
        <v>553</v>
      </c>
      <c r="D48" s="102">
        <v>166</v>
      </c>
    </row>
    <row r="49" spans="1:4" x14ac:dyDescent="0.25">
      <c r="A49" s="102" t="s">
        <v>159</v>
      </c>
      <c r="B49" s="102" t="s">
        <v>161</v>
      </c>
      <c r="C49" s="102" t="s">
        <v>554</v>
      </c>
      <c r="D49" s="102">
        <v>170</v>
      </c>
    </row>
    <row r="50" spans="1:4" x14ac:dyDescent="0.25">
      <c r="A50" s="102" t="s">
        <v>163</v>
      </c>
      <c r="B50" s="102" t="s">
        <v>165</v>
      </c>
      <c r="C50" s="102" t="s">
        <v>555</v>
      </c>
      <c r="D50" s="102">
        <v>174</v>
      </c>
    </row>
    <row r="51" spans="1:4" x14ac:dyDescent="0.25">
      <c r="A51" s="102" t="s">
        <v>171</v>
      </c>
      <c r="B51" s="102" t="s">
        <v>173</v>
      </c>
      <c r="C51" s="102" t="s">
        <v>556</v>
      </c>
      <c r="D51" s="102">
        <v>180</v>
      </c>
    </row>
    <row r="52" spans="1:4" x14ac:dyDescent="0.25">
      <c r="A52" s="102" t="s">
        <v>167</v>
      </c>
      <c r="B52" s="102" t="s">
        <v>169</v>
      </c>
      <c r="C52" s="102" t="s">
        <v>557</v>
      </c>
      <c r="D52" s="102">
        <v>178</v>
      </c>
    </row>
    <row r="53" spans="1:4" x14ac:dyDescent="0.25">
      <c r="A53" s="102" t="s">
        <v>175</v>
      </c>
      <c r="B53" s="102" t="s">
        <v>177</v>
      </c>
      <c r="C53" s="102" t="s">
        <v>558</v>
      </c>
      <c r="D53" s="102">
        <v>184</v>
      </c>
    </row>
    <row r="54" spans="1:4" x14ac:dyDescent="0.25">
      <c r="A54" s="102" t="s">
        <v>179</v>
      </c>
      <c r="B54" s="102" t="s">
        <v>181</v>
      </c>
      <c r="C54" s="102" t="s">
        <v>559</v>
      </c>
      <c r="D54" s="102">
        <v>188</v>
      </c>
    </row>
    <row r="55" spans="1:4" x14ac:dyDescent="0.25">
      <c r="A55" s="102" t="s">
        <v>25</v>
      </c>
      <c r="B55" s="102" t="s">
        <v>24</v>
      </c>
      <c r="C55" s="102" t="s">
        <v>560</v>
      </c>
      <c r="D55" s="102">
        <v>191</v>
      </c>
    </row>
    <row r="56" spans="1:4" x14ac:dyDescent="0.25">
      <c r="A56" s="102" t="s">
        <v>474</v>
      </c>
      <c r="B56" s="102" t="s">
        <v>561</v>
      </c>
      <c r="C56" s="102" t="s">
        <v>562</v>
      </c>
      <c r="D56" s="102">
        <v>192</v>
      </c>
    </row>
    <row r="57" spans="1:4" x14ac:dyDescent="0.25">
      <c r="A57" s="102" t="s">
        <v>563</v>
      </c>
      <c r="B57" s="102" t="s">
        <v>564</v>
      </c>
      <c r="C57" s="102" t="s">
        <v>565</v>
      </c>
      <c r="D57" s="102">
        <v>531</v>
      </c>
    </row>
    <row r="58" spans="1:4" x14ac:dyDescent="0.25">
      <c r="A58" s="102" t="s">
        <v>188</v>
      </c>
      <c r="B58" s="102" t="s">
        <v>189</v>
      </c>
      <c r="C58" s="102" t="s">
        <v>566</v>
      </c>
      <c r="D58" s="102">
        <v>196</v>
      </c>
    </row>
    <row r="59" spans="1:4" x14ac:dyDescent="0.25">
      <c r="A59" s="102" t="s">
        <v>567</v>
      </c>
      <c r="B59" s="102" t="s">
        <v>26</v>
      </c>
      <c r="C59" s="102" t="s">
        <v>568</v>
      </c>
      <c r="D59" s="102">
        <v>203</v>
      </c>
    </row>
    <row r="60" spans="1:4" x14ac:dyDescent="0.25">
      <c r="A60" s="102" t="s">
        <v>806</v>
      </c>
      <c r="B60" s="102" t="s">
        <v>185</v>
      </c>
      <c r="C60" s="102" t="s">
        <v>569</v>
      </c>
      <c r="D60" s="102">
        <v>384</v>
      </c>
    </row>
    <row r="61" spans="1:4" x14ac:dyDescent="0.25">
      <c r="A61" s="102" t="s">
        <v>29</v>
      </c>
      <c r="B61" s="102" t="s">
        <v>28</v>
      </c>
      <c r="C61" s="102" t="s">
        <v>570</v>
      </c>
      <c r="D61" s="102">
        <v>208</v>
      </c>
    </row>
    <row r="62" spans="1:4" x14ac:dyDescent="0.25">
      <c r="A62" s="102" t="s">
        <v>190</v>
      </c>
      <c r="B62" s="102" t="s">
        <v>192</v>
      </c>
      <c r="C62" s="102" t="s">
        <v>571</v>
      </c>
      <c r="D62" s="102">
        <v>262</v>
      </c>
    </row>
    <row r="63" spans="1:4" x14ac:dyDescent="0.25">
      <c r="A63" s="102" t="s">
        <v>194</v>
      </c>
      <c r="B63" s="102" t="s">
        <v>196</v>
      </c>
      <c r="C63" s="102" t="s">
        <v>572</v>
      </c>
      <c r="D63" s="102">
        <v>212</v>
      </c>
    </row>
    <row r="64" spans="1:4" x14ac:dyDescent="0.25">
      <c r="A64" s="102" t="s">
        <v>198</v>
      </c>
      <c r="B64" s="102" t="s">
        <v>200</v>
      </c>
      <c r="C64" s="102" t="s">
        <v>573</v>
      </c>
      <c r="D64" s="102">
        <v>214</v>
      </c>
    </row>
    <row r="65" spans="1:4" x14ac:dyDescent="0.25">
      <c r="A65" s="102" t="s">
        <v>206</v>
      </c>
      <c r="B65" s="102" t="s">
        <v>208</v>
      </c>
      <c r="C65" s="102" t="s">
        <v>574</v>
      </c>
      <c r="D65" s="102">
        <v>218</v>
      </c>
    </row>
    <row r="66" spans="1:4" x14ac:dyDescent="0.25">
      <c r="A66" s="102" t="s">
        <v>210</v>
      </c>
      <c r="B66" s="102" t="s">
        <v>212</v>
      </c>
      <c r="C66" s="102" t="s">
        <v>575</v>
      </c>
      <c r="D66" s="102">
        <v>818</v>
      </c>
    </row>
    <row r="67" spans="1:4" x14ac:dyDescent="0.25">
      <c r="A67" s="102" t="s">
        <v>214</v>
      </c>
      <c r="B67" s="102" t="s">
        <v>216</v>
      </c>
      <c r="C67" s="102" t="s">
        <v>576</v>
      </c>
      <c r="D67" s="102">
        <v>222</v>
      </c>
    </row>
    <row r="68" spans="1:4" x14ac:dyDescent="0.25">
      <c r="A68" s="102" t="s">
        <v>218</v>
      </c>
      <c r="B68" s="102" t="s">
        <v>220</v>
      </c>
      <c r="C68" s="102" t="s">
        <v>577</v>
      </c>
      <c r="D68" s="102">
        <v>226</v>
      </c>
    </row>
    <row r="69" spans="1:4" x14ac:dyDescent="0.25">
      <c r="A69" s="102" t="s">
        <v>222</v>
      </c>
      <c r="B69" s="102" t="s">
        <v>223</v>
      </c>
      <c r="C69" s="102" t="s">
        <v>578</v>
      </c>
      <c r="D69" s="102">
        <v>232</v>
      </c>
    </row>
    <row r="70" spans="1:4" x14ac:dyDescent="0.25">
      <c r="A70" s="102" t="s">
        <v>31</v>
      </c>
      <c r="B70" s="102" t="s">
        <v>30</v>
      </c>
      <c r="C70" s="102" t="s">
        <v>579</v>
      </c>
      <c r="D70" s="102">
        <v>233</v>
      </c>
    </row>
    <row r="71" spans="1:4" x14ac:dyDescent="0.25">
      <c r="A71" s="102" t="s">
        <v>348</v>
      </c>
      <c r="B71" s="102" t="s">
        <v>350</v>
      </c>
      <c r="C71" s="102" t="s">
        <v>580</v>
      </c>
      <c r="D71" s="102">
        <v>748</v>
      </c>
    </row>
    <row r="72" spans="1:4" x14ac:dyDescent="0.25">
      <c r="A72" s="102" t="s">
        <v>225</v>
      </c>
      <c r="B72" s="102" t="s">
        <v>227</v>
      </c>
      <c r="C72" s="102" t="s">
        <v>581</v>
      </c>
      <c r="D72" s="102">
        <v>231</v>
      </c>
    </row>
    <row r="73" spans="1:4" x14ac:dyDescent="0.25">
      <c r="A73" s="102" t="s">
        <v>229</v>
      </c>
      <c r="B73" s="102" t="s">
        <v>231</v>
      </c>
      <c r="C73" s="102" t="s">
        <v>582</v>
      </c>
      <c r="D73" s="102">
        <v>238</v>
      </c>
    </row>
    <row r="74" spans="1:4" x14ac:dyDescent="0.25">
      <c r="A74" s="102" t="s">
        <v>475</v>
      </c>
      <c r="B74" s="102" t="s">
        <v>583</v>
      </c>
      <c r="C74" s="102" t="s">
        <v>584</v>
      </c>
      <c r="D74" s="102">
        <v>234</v>
      </c>
    </row>
    <row r="75" spans="1:4" x14ac:dyDescent="0.25">
      <c r="A75" s="102" t="s">
        <v>233</v>
      </c>
      <c r="B75" s="102" t="s">
        <v>235</v>
      </c>
      <c r="C75" s="102" t="s">
        <v>585</v>
      </c>
      <c r="D75" s="102">
        <v>242</v>
      </c>
    </row>
    <row r="76" spans="1:4" x14ac:dyDescent="0.25">
      <c r="A76" s="102" t="s">
        <v>34</v>
      </c>
      <c r="B76" s="102" t="s">
        <v>33</v>
      </c>
      <c r="C76" s="102" t="s">
        <v>586</v>
      </c>
      <c r="D76" s="102">
        <v>246</v>
      </c>
    </row>
    <row r="77" spans="1:4" x14ac:dyDescent="0.25">
      <c r="A77" s="102" t="s">
        <v>36</v>
      </c>
      <c r="B77" s="102" t="s">
        <v>35</v>
      </c>
      <c r="C77" s="102" t="s">
        <v>587</v>
      </c>
      <c r="D77" s="102">
        <v>250</v>
      </c>
    </row>
    <row r="78" spans="1:4" x14ac:dyDescent="0.25">
      <c r="A78" s="102" t="s">
        <v>237</v>
      </c>
      <c r="B78" s="102" t="s">
        <v>239</v>
      </c>
      <c r="C78" s="102" t="s">
        <v>588</v>
      </c>
      <c r="D78" s="102">
        <v>254</v>
      </c>
    </row>
    <row r="79" spans="1:4" x14ac:dyDescent="0.25">
      <c r="A79" s="102" t="s">
        <v>241</v>
      </c>
      <c r="B79" s="102" t="s">
        <v>243</v>
      </c>
      <c r="C79" s="102" t="s">
        <v>589</v>
      </c>
      <c r="D79" s="102">
        <v>258</v>
      </c>
    </row>
    <row r="80" spans="1:4" x14ac:dyDescent="0.25">
      <c r="A80" s="102" t="s">
        <v>245</v>
      </c>
      <c r="B80" s="102" t="s">
        <v>247</v>
      </c>
      <c r="C80" s="102" t="s">
        <v>590</v>
      </c>
      <c r="D80" s="102">
        <v>260</v>
      </c>
    </row>
    <row r="81" spans="1:4" x14ac:dyDescent="0.25">
      <c r="A81" s="102" t="s">
        <v>249</v>
      </c>
      <c r="B81" s="102" t="s">
        <v>251</v>
      </c>
      <c r="C81" s="102" t="s">
        <v>591</v>
      </c>
      <c r="D81" s="102">
        <v>266</v>
      </c>
    </row>
    <row r="82" spans="1:4" x14ac:dyDescent="0.25">
      <c r="A82" s="102" t="s">
        <v>253</v>
      </c>
      <c r="B82" s="102" t="s">
        <v>255</v>
      </c>
      <c r="C82" s="102" t="s">
        <v>592</v>
      </c>
      <c r="D82" s="102">
        <v>270</v>
      </c>
    </row>
    <row r="83" spans="1:4" x14ac:dyDescent="0.25">
      <c r="A83" s="102" t="s">
        <v>257</v>
      </c>
      <c r="B83" s="102" t="s">
        <v>259</v>
      </c>
      <c r="C83" s="102" t="s">
        <v>593</v>
      </c>
      <c r="D83" s="102">
        <v>268</v>
      </c>
    </row>
    <row r="84" spans="1:4" x14ac:dyDescent="0.25">
      <c r="A84" s="102" t="s">
        <v>38</v>
      </c>
      <c r="B84" s="102" t="s">
        <v>37</v>
      </c>
      <c r="C84" s="102" t="s">
        <v>594</v>
      </c>
      <c r="D84" s="102">
        <v>276</v>
      </c>
    </row>
    <row r="85" spans="1:4" x14ac:dyDescent="0.25">
      <c r="A85" s="102" t="s">
        <v>261</v>
      </c>
      <c r="B85" s="102" t="s">
        <v>263</v>
      </c>
      <c r="C85" s="102" t="s">
        <v>595</v>
      </c>
      <c r="D85" s="102">
        <v>288</v>
      </c>
    </row>
    <row r="86" spans="1:4" x14ac:dyDescent="0.25">
      <c r="A86" s="102" t="s">
        <v>265</v>
      </c>
      <c r="B86" s="102" t="s">
        <v>267</v>
      </c>
      <c r="C86" s="102" t="s">
        <v>596</v>
      </c>
      <c r="D86" s="102">
        <v>292</v>
      </c>
    </row>
    <row r="87" spans="1:4" x14ac:dyDescent="0.25">
      <c r="A87" s="102" t="s">
        <v>40</v>
      </c>
      <c r="B87" s="102" t="s">
        <v>39</v>
      </c>
      <c r="C87" s="102" t="s">
        <v>597</v>
      </c>
      <c r="D87" s="102">
        <v>300</v>
      </c>
    </row>
    <row r="88" spans="1:4" x14ac:dyDescent="0.25">
      <c r="A88" s="102" t="s">
        <v>476</v>
      </c>
      <c r="B88" s="102" t="s">
        <v>598</v>
      </c>
      <c r="C88" s="102" t="s">
        <v>599</v>
      </c>
      <c r="D88" s="102">
        <v>304</v>
      </c>
    </row>
    <row r="89" spans="1:4" x14ac:dyDescent="0.25">
      <c r="A89" s="102" t="s">
        <v>269</v>
      </c>
      <c r="B89" s="102" t="s">
        <v>271</v>
      </c>
      <c r="C89" s="102" t="s">
        <v>600</v>
      </c>
      <c r="D89" s="102">
        <v>308</v>
      </c>
    </row>
    <row r="90" spans="1:4" x14ac:dyDescent="0.25">
      <c r="A90" s="102" t="s">
        <v>273</v>
      </c>
      <c r="B90" s="102" t="s">
        <v>275</v>
      </c>
      <c r="C90" s="102" t="s">
        <v>601</v>
      </c>
      <c r="D90" s="102">
        <v>312</v>
      </c>
    </row>
    <row r="91" spans="1:4" x14ac:dyDescent="0.25">
      <c r="A91" s="102" t="s">
        <v>277</v>
      </c>
      <c r="B91" s="102" t="s">
        <v>279</v>
      </c>
      <c r="C91" s="102" t="s">
        <v>602</v>
      </c>
      <c r="D91" s="102">
        <v>316</v>
      </c>
    </row>
    <row r="92" spans="1:4" x14ac:dyDescent="0.25">
      <c r="A92" s="102" t="s">
        <v>281</v>
      </c>
      <c r="B92" s="102" t="s">
        <v>283</v>
      </c>
      <c r="C92" s="102" t="s">
        <v>603</v>
      </c>
      <c r="D92" s="102">
        <v>320</v>
      </c>
    </row>
    <row r="93" spans="1:4" x14ac:dyDescent="0.25">
      <c r="A93" s="102" t="s">
        <v>604</v>
      </c>
      <c r="B93" s="102" t="s">
        <v>605</v>
      </c>
      <c r="C93" s="102" t="s">
        <v>606</v>
      </c>
      <c r="D93" s="102">
        <v>831</v>
      </c>
    </row>
    <row r="94" spans="1:4" x14ac:dyDescent="0.25">
      <c r="A94" s="102" t="s">
        <v>285</v>
      </c>
      <c r="B94" s="102" t="s">
        <v>287</v>
      </c>
      <c r="C94" s="102" t="s">
        <v>607</v>
      </c>
      <c r="D94" s="102">
        <v>324</v>
      </c>
    </row>
    <row r="95" spans="1:4" x14ac:dyDescent="0.25">
      <c r="A95" s="102" t="s">
        <v>289</v>
      </c>
      <c r="B95" s="102" t="s">
        <v>291</v>
      </c>
      <c r="C95" s="102" t="s">
        <v>608</v>
      </c>
      <c r="D95" s="102">
        <v>624</v>
      </c>
    </row>
    <row r="96" spans="1:4" x14ac:dyDescent="0.25">
      <c r="A96" s="102" t="s">
        <v>293</v>
      </c>
      <c r="B96" s="102" t="s">
        <v>295</v>
      </c>
      <c r="C96" s="102" t="s">
        <v>609</v>
      </c>
      <c r="D96" s="102">
        <v>328</v>
      </c>
    </row>
    <row r="97" spans="1:4" x14ac:dyDescent="0.25">
      <c r="A97" s="102" t="s">
        <v>297</v>
      </c>
      <c r="B97" s="102" t="s">
        <v>299</v>
      </c>
      <c r="C97" s="102" t="s">
        <v>610</v>
      </c>
      <c r="D97" s="102">
        <v>332</v>
      </c>
    </row>
    <row r="98" spans="1:4" x14ac:dyDescent="0.25">
      <c r="A98" s="102" t="s">
        <v>301</v>
      </c>
      <c r="B98" s="102" t="s">
        <v>303</v>
      </c>
      <c r="C98" s="102" t="s">
        <v>611</v>
      </c>
      <c r="D98" s="102">
        <v>334</v>
      </c>
    </row>
    <row r="99" spans="1:4" x14ac:dyDescent="0.25">
      <c r="A99" s="102" t="s">
        <v>803</v>
      </c>
      <c r="B99" s="102" t="s">
        <v>612</v>
      </c>
      <c r="C99" s="102" t="s">
        <v>613</v>
      </c>
      <c r="D99" s="102">
        <v>336</v>
      </c>
    </row>
    <row r="100" spans="1:4" x14ac:dyDescent="0.25">
      <c r="A100" s="102" t="s">
        <v>305</v>
      </c>
      <c r="B100" s="102" t="s">
        <v>307</v>
      </c>
      <c r="C100" s="102" t="s">
        <v>614</v>
      </c>
      <c r="D100" s="102">
        <v>340</v>
      </c>
    </row>
    <row r="101" spans="1:4" x14ac:dyDescent="0.25">
      <c r="A101" s="102" t="s">
        <v>88</v>
      </c>
      <c r="B101" s="102" t="s">
        <v>89</v>
      </c>
      <c r="C101" s="102" t="s">
        <v>615</v>
      </c>
      <c r="D101" s="102">
        <v>344</v>
      </c>
    </row>
    <row r="102" spans="1:4" x14ac:dyDescent="0.25">
      <c r="A102" s="102" t="s">
        <v>42</v>
      </c>
      <c r="B102" s="102" t="s">
        <v>41</v>
      </c>
      <c r="C102" s="102" t="s">
        <v>616</v>
      </c>
      <c r="D102" s="102">
        <v>348</v>
      </c>
    </row>
    <row r="103" spans="1:4" x14ac:dyDescent="0.25">
      <c r="A103" s="102" t="s">
        <v>44</v>
      </c>
      <c r="B103" s="102" t="s">
        <v>43</v>
      </c>
      <c r="C103" s="102" t="s">
        <v>617</v>
      </c>
      <c r="D103" s="102">
        <v>352</v>
      </c>
    </row>
    <row r="104" spans="1:4" x14ac:dyDescent="0.25">
      <c r="A104" s="102" t="s">
        <v>309</v>
      </c>
      <c r="B104" s="102" t="s">
        <v>311</v>
      </c>
      <c r="C104" s="102" t="s">
        <v>618</v>
      </c>
      <c r="D104" s="102">
        <v>356</v>
      </c>
    </row>
    <row r="105" spans="1:4" x14ac:dyDescent="0.25">
      <c r="A105" s="102" t="s">
        <v>313</v>
      </c>
      <c r="B105" s="102" t="s">
        <v>315</v>
      </c>
      <c r="C105" s="102" t="s">
        <v>619</v>
      </c>
      <c r="D105" s="102">
        <v>360</v>
      </c>
    </row>
    <row r="106" spans="1:4" x14ac:dyDescent="0.25">
      <c r="A106" s="102" t="s">
        <v>620</v>
      </c>
      <c r="B106" s="102" t="s">
        <v>621</v>
      </c>
      <c r="C106" s="102" t="s">
        <v>622</v>
      </c>
      <c r="D106" s="102">
        <v>364</v>
      </c>
    </row>
    <row r="107" spans="1:4" x14ac:dyDescent="0.25">
      <c r="A107" s="102" t="s">
        <v>318</v>
      </c>
      <c r="B107" s="102" t="s">
        <v>320</v>
      </c>
      <c r="C107" s="102" t="s">
        <v>623</v>
      </c>
      <c r="D107" s="102">
        <v>368</v>
      </c>
    </row>
    <row r="108" spans="1:4" x14ac:dyDescent="0.25">
      <c r="A108" s="102" t="s">
        <v>46</v>
      </c>
      <c r="B108" s="102" t="s">
        <v>45</v>
      </c>
      <c r="C108" s="102" t="s">
        <v>624</v>
      </c>
      <c r="D108" s="102">
        <v>372</v>
      </c>
    </row>
    <row r="109" spans="1:4" x14ac:dyDescent="0.25">
      <c r="A109" s="102" t="s">
        <v>625</v>
      </c>
      <c r="B109" s="102" t="s">
        <v>626</v>
      </c>
      <c r="C109" s="102" t="s">
        <v>627</v>
      </c>
      <c r="D109" s="102">
        <v>833</v>
      </c>
    </row>
    <row r="110" spans="1:4" x14ac:dyDescent="0.25">
      <c r="A110" s="102" t="s">
        <v>90</v>
      </c>
      <c r="B110" s="102" t="s">
        <v>91</v>
      </c>
      <c r="C110" s="102" t="s">
        <v>628</v>
      </c>
      <c r="D110" s="102">
        <v>376</v>
      </c>
    </row>
    <row r="111" spans="1:4" x14ac:dyDescent="0.25">
      <c r="A111" s="102" t="s">
        <v>48</v>
      </c>
      <c r="B111" s="102" t="s">
        <v>47</v>
      </c>
      <c r="C111" s="102" t="s">
        <v>629</v>
      </c>
      <c r="D111" s="102">
        <v>380</v>
      </c>
    </row>
    <row r="112" spans="1:4" x14ac:dyDescent="0.25">
      <c r="A112" s="102" t="s">
        <v>322</v>
      </c>
      <c r="B112" s="102" t="s">
        <v>324</v>
      </c>
      <c r="C112" s="102" t="s">
        <v>630</v>
      </c>
      <c r="D112" s="102">
        <v>388</v>
      </c>
    </row>
    <row r="113" spans="1:4" x14ac:dyDescent="0.25">
      <c r="A113" s="102" t="s">
        <v>92</v>
      </c>
      <c r="B113" s="102" t="s">
        <v>93</v>
      </c>
      <c r="C113" s="102" t="s">
        <v>631</v>
      </c>
      <c r="D113" s="102">
        <v>392</v>
      </c>
    </row>
    <row r="114" spans="1:4" x14ac:dyDescent="0.25">
      <c r="A114" s="102" t="s">
        <v>632</v>
      </c>
      <c r="B114" s="102" t="s">
        <v>633</v>
      </c>
      <c r="C114" s="102" t="s">
        <v>634</v>
      </c>
      <c r="D114" s="102">
        <v>832</v>
      </c>
    </row>
    <row r="115" spans="1:4" x14ac:dyDescent="0.25">
      <c r="A115" s="102" t="s">
        <v>326</v>
      </c>
      <c r="B115" s="102" t="s">
        <v>328</v>
      </c>
      <c r="C115" s="102" t="s">
        <v>635</v>
      </c>
      <c r="D115" s="102">
        <v>400</v>
      </c>
    </row>
    <row r="116" spans="1:4" x14ac:dyDescent="0.25">
      <c r="A116" s="102" t="s">
        <v>330</v>
      </c>
      <c r="B116" s="102" t="s">
        <v>332</v>
      </c>
      <c r="C116" s="102" t="s">
        <v>636</v>
      </c>
      <c r="D116" s="102">
        <v>398</v>
      </c>
    </row>
    <row r="117" spans="1:4" x14ac:dyDescent="0.25">
      <c r="A117" s="102" t="s">
        <v>477</v>
      </c>
      <c r="B117" s="102" t="s">
        <v>637</v>
      </c>
      <c r="C117" s="102" t="s">
        <v>638</v>
      </c>
      <c r="D117" s="102">
        <v>404</v>
      </c>
    </row>
    <row r="118" spans="1:4" x14ac:dyDescent="0.25">
      <c r="A118" s="102" t="s">
        <v>334</v>
      </c>
      <c r="B118" s="102" t="s">
        <v>336</v>
      </c>
      <c r="C118" s="102" t="s">
        <v>639</v>
      </c>
      <c r="D118" s="102">
        <v>296</v>
      </c>
    </row>
    <row r="119" spans="1:4" x14ac:dyDescent="0.25">
      <c r="A119" s="102" t="s">
        <v>640</v>
      </c>
      <c r="B119" s="102" t="s">
        <v>641</v>
      </c>
      <c r="C119" s="102" t="s">
        <v>642</v>
      </c>
      <c r="D119" s="102">
        <v>408</v>
      </c>
    </row>
    <row r="120" spans="1:4" x14ac:dyDescent="0.25">
      <c r="A120" s="102" t="s">
        <v>100</v>
      </c>
      <c r="B120" s="102" t="s">
        <v>101</v>
      </c>
      <c r="C120" s="102" t="s">
        <v>643</v>
      </c>
      <c r="D120" s="102">
        <v>410</v>
      </c>
    </row>
    <row r="121" spans="1:4" x14ac:dyDescent="0.25">
      <c r="A121" s="102" t="s">
        <v>191</v>
      </c>
      <c r="B121" s="102" t="s">
        <v>193</v>
      </c>
      <c r="C121" s="102" t="s">
        <v>644</v>
      </c>
      <c r="D121" s="102">
        <v>414</v>
      </c>
    </row>
    <row r="122" spans="1:4" x14ac:dyDescent="0.25">
      <c r="A122" s="102" t="s">
        <v>195</v>
      </c>
      <c r="B122" s="102" t="s">
        <v>197</v>
      </c>
      <c r="C122" s="102" t="s">
        <v>645</v>
      </c>
      <c r="D122" s="102">
        <v>417</v>
      </c>
    </row>
    <row r="123" spans="1:4" x14ac:dyDescent="0.25">
      <c r="A123" s="102" t="s">
        <v>199</v>
      </c>
      <c r="B123" s="102" t="s">
        <v>201</v>
      </c>
      <c r="C123" s="102" t="s">
        <v>646</v>
      </c>
      <c r="D123" s="102">
        <v>418</v>
      </c>
    </row>
    <row r="124" spans="1:4" x14ac:dyDescent="0.25">
      <c r="A124" s="102" t="s">
        <v>50</v>
      </c>
      <c r="B124" s="102" t="s">
        <v>49</v>
      </c>
      <c r="C124" s="102" t="s">
        <v>647</v>
      </c>
      <c r="D124" s="102">
        <v>428</v>
      </c>
    </row>
    <row r="125" spans="1:4" x14ac:dyDescent="0.25">
      <c r="A125" s="102" t="s">
        <v>203</v>
      </c>
      <c r="B125" s="102" t="s">
        <v>205</v>
      </c>
      <c r="C125" s="102" t="s">
        <v>648</v>
      </c>
      <c r="D125" s="102">
        <v>422</v>
      </c>
    </row>
    <row r="126" spans="1:4" x14ac:dyDescent="0.25">
      <c r="A126" s="102" t="s">
        <v>207</v>
      </c>
      <c r="B126" s="102" t="s">
        <v>209</v>
      </c>
      <c r="C126" s="102" t="s">
        <v>649</v>
      </c>
      <c r="D126" s="102">
        <v>426</v>
      </c>
    </row>
    <row r="127" spans="1:4" x14ac:dyDescent="0.25">
      <c r="A127" s="102" t="s">
        <v>211</v>
      </c>
      <c r="B127" s="102" t="s">
        <v>213</v>
      </c>
      <c r="C127" s="102" t="s">
        <v>650</v>
      </c>
      <c r="D127" s="102">
        <v>430</v>
      </c>
    </row>
    <row r="128" spans="1:4" x14ac:dyDescent="0.25">
      <c r="A128" s="102" t="s">
        <v>215</v>
      </c>
      <c r="B128" s="102" t="s">
        <v>217</v>
      </c>
      <c r="C128" s="102" t="s">
        <v>651</v>
      </c>
      <c r="D128" s="102">
        <v>434</v>
      </c>
    </row>
    <row r="129" spans="1:4" x14ac:dyDescent="0.25">
      <c r="A129" s="102" t="s">
        <v>478</v>
      </c>
      <c r="B129" s="102" t="s">
        <v>652</v>
      </c>
      <c r="C129" s="102" t="s">
        <v>653</v>
      </c>
      <c r="D129" s="102">
        <v>438</v>
      </c>
    </row>
    <row r="130" spans="1:4" x14ac:dyDescent="0.25">
      <c r="A130" s="102" t="s">
        <v>52</v>
      </c>
      <c r="B130" s="102" t="s">
        <v>51</v>
      </c>
      <c r="C130" s="102" t="s">
        <v>654</v>
      </c>
      <c r="D130" s="102">
        <v>440</v>
      </c>
    </row>
    <row r="131" spans="1:4" x14ac:dyDescent="0.25">
      <c r="A131" s="102" t="s">
        <v>54</v>
      </c>
      <c r="B131" s="102" t="s">
        <v>53</v>
      </c>
      <c r="C131" s="102" t="s">
        <v>655</v>
      </c>
      <c r="D131" s="102">
        <v>442</v>
      </c>
    </row>
    <row r="132" spans="1:4" x14ac:dyDescent="0.25">
      <c r="A132" s="102" t="s">
        <v>219</v>
      </c>
      <c r="B132" s="102" t="s">
        <v>221</v>
      </c>
      <c r="C132" s="102" t="s">
        <v>656</v>
      </c>
      <c r="D132" s="102">
        <v>446</v>
      </c>
    </row>
    <row r="133" spans="1:4" x14ac:dyDescent="0.25">
      <c r="A133" s="102" t="s">
        <v>226</v>
      </c>
      <c r="B133" s="102" t="s">
        <v>228</v>
      </c>
      <c r="C133" s="102" t="s">
        <v>657</v>
      </c>
      <c r="D133" s="102">
        <v>450</v>
      </c>
    </row>
    <row r="134" spans="1:4" x14ac:dyDescent="0.25">
      <c r="A134" s="102" t="s">
        <v>230</v>
      </c>
      <c r="B134" s="102" t="s">
        <v>232</v>
      </c>
      <c r="C134" s="102" t="s">
        <v>658</v>
      </c>
      <c r="D134" s="102">
        <v>454</v>
      </c>
    </row>
    <row r="135" spans="1:4" x14ac:dyDescent="0.25">
      <c r="A135" s="102" t="s">
        <v>234</v>
      </c>
      <c r="B135" s="102" t="s">
        <v>236</v>
      </c>
      <c r="C135" s="102" t="s">
        <v>659</v>
      </c>
      <c r="D135" s="102">
        <v>458</v>
      </c>
    </row>
    <row r="136" spans="1:4" x14ac:dyDescent="0.25">
      <c r="A136" s="102" t="s">
        <v>238</v>
      </c>
      <c r="B136" s="102" t="s">
        <v>240</v>
      </c>
      <c r="C136" s="102" t="s">
        <v>660</v>
      </c>
      <c r="D136" s="102">
        <v>462</v>
      </c>
    </row>
    <row r="137" spans="1:4" x14ac:dyDescent="0.25">
      <c r="A137" s="102" t="s">
        <v>242</v>
      </c>
      <c r="B137" s="102" t="s">
        <v>244</v>
      </c>
      <c r="C137" s="102" t="s">
        <v>661</v>
      </c>
      <c r="D137" s="102">
        <v>466</v>
      </c>
    </row>
    <row r="138" spans="1:4" x14ac:dyDescent="0.25">
      <c r="A138" s="102" t="s">
        <v>246</v>
      </c>
      <c r="B138" s="102" t="s">
        <v>248</v>
      </c>
      <c r="C138" s="102" t="s">
        <v>662</v>
      </c>
      <c r="D138" s="102">
        <v>470</v>
      </c>
    </row>
    <row r="139" spans="1:4" x14ac:dyDescent="0.25">
      <c r="A139" s="102" t="s">
        <v>250</v>
      </c>
      <c r="B139" s="102" t="s">
        <v>252</v>
      </c>
      <c r="C139" s="102" t="s">
        <v>663</v>
      </c>
      <c r="D139" s="102">
        <v>584</v>
      </c>
    </row>
    <row r="140" spans="1:4" x14ac:dyDescent="0.25">
      <c r="A140" s="102" t="s">
        <v>254</v>
      </c>
      <c r="B140" s="102" t="s">
        <v>256</v>
      </c>
      <c r="C140" s="102" t="s">
        <v>664</v>
      </c>
      <c r="D140" s="102">
        <v>474</v>
      </c>
    </row>
    <row r="141" spans="1:4" x14ac:dyDescent="0.25">
      <c r="A141" s="102" t="s">
        <v>258</v>
      </c>
      <c r="B141" s="102" t="s">
        <v>260</v>
      </c>
      <c r="C141" s="102" t="s">
        <v>665</v>
      </c>
      <c r="D141" s="102">
        <v>478</v>
      </c>
    </row>
    <row r="142" spans="1:4" x14ac:dyDescent="0.25">
      <c r="A142" s="102" t="s">
        <v>262</v>
      </c>
      <c r="B142" s="102" t="s">
        <v>264</v>
      </c>
      <c r="C142" s="102" t="s">
        <v>666</v>
      </c>
      <c r="D142" s="102">
        <v>480</v>
      </c>
    </row>
    <row r="143" spans="1:4" x14ac:dyDescent="0.25">
      <c r="A143" s="102" t="s">
        <v>266</v>
      </c>
      <c r="B143" s="102" t="s">
        <v>268</v>
      </c>
      <c r="C143" s="102" t="s">
        <v>667</v>
      </c>
      <c r="D143" s="102">
        <v>175</v>
      </c>
    </row>
    <row r="144" spans="1:4" x14ac:dyDescent="0.25">
      <c r="A144" s="102" t="s">
        <v>270</v>
      </c>
      <c r="B144" s="102" t="s">
        <v>272</v>
      </c>
      <c r="C144" s="102" t="s">
        <v>668</v>
      </c>
      <c r="D144" s="102">
        <v>484</v>
      </c>
    </row>
    <row r="145" spans="1:4" x14ac:dyDescent="0.25">
      <c r="A145" s="102" t="s">
        <v>274</v>
      </c>
      <c r="B145" s="102" t="s">
        <v>276</v>
      </c>
      <c r="C145" s="102" t="s">
        <v>669</v>
      </c>
      <c r="D145" s="102">
        <v>583</v>
      </c>
    </row>
    <row r="146" spans="1:4" x14ac:dyDescent="0.25">
      <c r="A146" s="102" t="s">
        <v>808</v>
      </c>
      <c r="B146" s="102" t="s">
        <v>280</v>
      </c>
      <c r="C146" s="102" t="s">
        <v>670</v>
      </c>
      <c r="D146" s="102">
        <v>498</v>
      </c>
    </row>
    <row r="147" spans="1:4" x14ac:dyDescent="0.25">
      <c r="A147" s="102" t="s">
        <v>671</v>
      </c>
      <c r="B147" s="102" t="s">
        <v>672</v>
      </c>
      <c r="C147" s="102" t="s">
        <v>673</v>
      </c>
      <c r="D147" s="102">
        <v>492</v>
      </c>
    </row>
    <row r="148" spans="1:4" x14ac:dyDescent="0.25">
      <c r="A148" s="102" t="s">
        <v>282</v>
      </c>
      <c r="B148" s="102" t="s">
        <v>284</v>
      </c>
      <c r="C148" s="102" t="s">
        <v>674</v>
      </c>
      <c r="D148" s="102">
        <v>496</v>
      </c>
    </row>
    <row r="149" spans="1:4" x14ac:dyDescent="0.25">
      <c r="A149" s="102" t="s">
        <v>286</v>
      </c>
      <c r="B149" s="102" t="s">
        <v>288</v>
      </c>
      <c r="C149" s="102" t="s">
        <v>675</v>
      </c>
      <c r="D149" s="102">
        <v>499</v>
      </c>
    </row>
    <row r="150" spans="1:4" x14ac:dyDescent="0.25">
      <c r="A150" s="102" t="s">
        <v>290</v>
      </c>
      <c r="B150" s="102" t="s">
        <v>292</v>
      </c>
      <c r="C150" s="102" t="s">
        <v>676</v>
      </c>
      <c r="D150" s="102">
        <v>500</v>
      </c>
    </row>
    <row r="151" spans="1:4" x14ac:dyDescent="0.25">
      <c r="A151" s="102" t="s">
        <v>294</v>
      </c>
      <c r="B151" s="102" t="s">
        <v>296</v>
      </c>
      <c r="C151" s="102" t="s">
        <v>677</v>
      </c>
      <c r="D151" s="102">
        <v>504</v>
      </c>
    </row>
    <row r="152" spans="1:4" x14ac:dyDescent="0.25">
      <c r="A152" s="102" t="s">
        <v>298</v>
      </c>
      <c r="B152" s="102" t="s">
        <v>300</v>
      </c>
      <c r="C152" s="102" t="s">
        <v>678</v>
      </c>
      <c r="D152" s="102">
        <v>508</v>
      </c>
    </row>
    <row r="153" spans="1:4" x14ac:dyDescent="0.25">
      <c r="A153" s="102" t="s">
        <v>302</v>
      </c>
      <c r="B153" s="102" t="s">
        <v>304</v>
      </c>
      <c r="C153" s="102" t="s">
        <v>679</v>
      </c>
      <c r="D153" s="102">
        <v>104</v>
      </c>
    </row>
    <row r="154" spans="1:4" x14ac:dyDescent="0.25">
      <c r="A154" s="102" t="s">
        <v>306</v>
      </c>
      <c r="B154" s="102" t="s">
        <v>308</v>
      </c>
      <c r="C154" s="102" t="s">
        <v>680</v>
      </c>
      <c r="D154" s="102">
        <v>516</v>
      </c>
    </row>
    <row r="155" spans="1:4" x14ac:dyDescent="0.25">
      <c r="A155" s="102" t="s">
        <v>310</v>
      </c>
      <c r="B155" s="102" t="s">
        <v>312</v>
      </c>
      <c r="C155" s="102" t="s">
        <v>681</v>
      </c>
      <c r="D155" s="102">
        <v>520</v>
      </c>
    </row>
    <row r="156" spans="1:4" x14ac:dyDescent="0.25">
      <c r="A156" s="102" t="s">
        <v>314</v>
      </c>
      <c r="B156" s="102" t="s">
        <v>316</v>
      </c>
      <c r="C156" s="102" t="s">
        <v>682</v>
      </c>
      <c r="D156" s="102">
        <v>524</v>
      </c>
    </row>
    <row r="157" spans="1:4" x14ac:dyDescent="0.25">
      <c r="A157" s="102" t="s">
        <v>56</v>
      </c>
      <c r="B157" s="102" t="s">
        <v>55</v>
      </c>
      <c r="C157" s="102" t="s">
        <v>683</v>
      </c>
      <c r="D157" s="102">
        <v>528</v>
      </c>
    </row>
    <row r="158" spans="1:4" x14ac:dyDescent="0.25">
      <c r="A158" s="102" t="s">
        <v>319</v>
      </c>
      <c r="B158" s="102" t="s">
        <v>321</v>
      </c>
      <c r="C158" s="102" t="s">
        <v>684</v>
      </c>
      <c r="D158" s="102">
        <v>540</v>
      </c>
    </row>
    <row r="159" spans="1:4" x14ac:dyDescent="0.25">
      <c r="A159" s="102" t="s">
        <v>94</v>
      </c>
      <c r="B159" s="102" t="s">
        <v>95</v>
      </c>
      <c r="C159" s="102" t="s">
        <v>685</v>
      </c>
      <c r="D159" s="102">
        <v>554</v>
      </c>
    </row>
    <row r="160" spans="1:4" x14ac:dyDescent="0.25">
      <c r="A160" s="102" t="s">
        <v>323</v>
      </c>
      <c r="B160" s="102" t="s">
        <v>325</v>
      </c>
      <c r="C160" s="102" t="s">
        <v>686</v>
      </c>
      <c r="D160" s="102">
        <v>558</v>
      </c>
    </row>
    <row r="161" spans="1:4" x14ac:dyDescent="0.25">
      <c r="A161" s="102" t="s">
        <v>327</v>
      </c>
      <c r="B161" s="102" t="s">
        <v>329</v>
      </c>
      <c r="C161" s="102" t="s">
        <v>687</v>
      </c>
      <c r="D161" s="102">
        <v>562</v>
      </c>
    </row>
    <row r="162" spans="1:4" x14ac:dyDescent="0.25">
      <c r="A162" s="102" t="s">
        <v>331</v>
      </c>
      <c r="B162" s="102" t="s">
        <v>333</v>
      </c>
      <c r="C162" s="102" t="s">
        <v>688</v>
      </c>
      <c r="D162" s="102">
        <v>566</v>
      </c>
    </row>
    <row r="163" spans="1:4" x14ac:dyDescent="0.25">
      <c r="A163" s="102" t="s">
        <v>335</v>
      </c>
      <c r="B163" s="102" t="s">
        <v>337</v>
      </c>
      <c r="C163" s="102" t="s">
        <v>689</v>
      </c>
      <c r="D163" s="102">
        <v>570</v>
      </c>
    </row>
    <row r="164" spans="1:4" x14ac:dyDescent="0.25">
      <c r="A164" s="102" t="s">
        <v>338</v>
      </c>
      <c r="B164" s="102" t="s">
        <v>339</v>
      </c>
      <c r="C164" s="102" t="s">
        <v>690</v>
      </c>
      <c r="D164" s="102">
        <v>574</v>
      </c>
    </row>
    <row r="165" spans="1:4" x14ac:dyDescent="0.25">
      <c r="A165" s="102" t="s">
        <v>340</v>
      </c>
      <c r="B165" s="102" t="s">
        <v>342</v>
      </c>
      <c r="C165" s="102" t="s">
        <v>691</v>
      </c>
      <c r="D165" s="102">
        <v>580</v>
      </c>
    </row>
    <row r="166" spans="1:4" x14ac:dyDescent="0.25">
      <c r="A166" s="102" t="s">
        <v>58</v>
      </c>
      <c r="B166" s="102" t="s">
        <v>57</v>
      </c>
      <c r="C166" s="102" t="s">
        <v>692</v>
      </c>
      <c r="D166" s="102">
        <v>578</v>
      </c>
    </row>
    <row r="167" spans="1:4" x14ac:dyDescent="0.25">
      <c r="A167" s="102" t="s">
        <v>344</v>
      </c>
      <c r="B167" s="102" t="s">
        <v>345</v>
      </c>
      <c r="C167" s="102" t="s">
        <v>693</v>
      </c>
      <c r="D167" s="102">
        <v>512</v>
      </c>
    </row>
    <row r="168" spans="1:4" x14ac:dyDescent="0.25">
      <c r="A168" s="102" t="s">
        <v>347</v>
      </c>
      <c r="B168" s="102" t="s">
        <v>349</v>
      </c>
      <c r="C168" s="102" t="s">
        <v>694</v>
      </c>
      <c r="D168" s="102">
        <v>586</v>
      </c>
    </row>
    <row r="169" spans="1:4" x14ac:dyDescent="0.25">
      <c r="A169" s="102" t="s">
        <v>351</v>
      </c>
      <c r="B169" s="102" t="s">
        <v>352</v>
      </c>
      <c r="C169" s="102" t="s">
        <v>695</v>
      </c>
      <c r="D169" s="102">
        <v>585</v>
      </c>
    </row>
    <row r="170" spans="1:4" x14ac:dyDescent="0.25">
      <c r="A170" s="102" t="s">
        <v>353</v>
      </c>
      <c r="B170" s="102" t="s">
        <v>355</v>
      </c>
      <c r="C170" s="102" t="s">
        <v>696</v>
      </c>
      <c r="D170" s="102">
        <v>275</v>
      </c>
    </row>
    <row r="171" spans="1:4" x14ac:dyDescent="0.25">
      <c r="A171" s="102" t="s">
        <v>357</v>
      </c>
      <c r="B171" s="102" t="s">
        <v>359</v>
      </c>
      <c r="C171" s="102" t="s">
        <v>697</v>
      </c>
      <c r="D171" s="102">
        <v>591</v>
      </c>
    </row>
    <row r="172" spans="1:4" x14ac:dyDescent="0.25">
      <c r="A172" s="102" t="s">
        <v>361</v>
      </c>
      <c r="B172" s="102" t="s">
        <v>363</v>
      </c>
      <c r="C172" s="102" t="s">
        <v>698</v>
      </c>
      <c r="D172" s="102">
        <v>598</v>
      </c>
    </row>
    <row r="173" spans="1:4" x14ac:dyDescent="0.25">
      <c r="A173" s="102" t="s">
        <v>365</v>
      </c>
      <c r="B173" s="102" t="s">
        <v>367</v>
      </c>
      <c r="C173" s="102" t="s">
        <v>699</v>
      </c>
      <c r="D173" s="102">
        <v>600</v>
      </c>
    </row>
    <row r="174" spans="1:4" x14ac:dyDescent="0.25">
      <c r="A174" s="102" t="s">
        <v>369</v>
      </c>
      <c r="B174" s="102" t="s">
        <v>371</v>
      </c>
      <c r="C174" s="102" t="s">
        <v>700</v>
      </c>
      <c r="D174" s="102">
        <v>604</v>
      </c>
    </row>
    <row r="175" spans="1:4" x14ac:dyDescent="0.25">
      <c r="A175" s="102" t="s">
        <v>373</v>
      </c>
      <c r="B175" s="102" t="s">
        <v>375</v>
      </c>
      <c r="C175" s="102" t="s">
        <v>701</v>
      </c>
      <c r="D175" s="102">
        <v>608</v>
      </c>
    </row>
    <row r="176" spans="1:4" x14ac:dyDescent="0.25">
      <c r="A176" s="102" t="s">
        <v>377</v>
      </c>
      <c r="B176" s="102" t="s">
        <v>379</v>
      </c>
      <c r="C176" s="102" t="s">
        <v>702</v>
      </c>
      <c r="D176" s="102">
        <v>612</v>
      </c>
    </row>
    <row r="177" spans="1:4" x14ac:dyDescent="0.25">
      <c r="A177" s="102" t="s">
        <v>60</v>
      </c>
      <c r="B177" s="102" t="s">
        <v>59</v>
      </c>
      <c r="C177" s="102" t="s">
        <v>703</v>
      </c>
      <c r="D177" s="102">
        <v>616</v>
      </c>
    </row>
    <row r="178" spans="1:4" x14ac:dyDescent="0.25">
      <c r="A178" s="102" t="s">
        <v>62</v>
      </c>
      <c r="B178" s="102" t="s">
        <v>61</v>
      </c>
      <c r="C178" s="102" t="s">
        <v>704</v>
      </c>
      <c r="D178" s="102">
        <v>620</v>
      </c>
    </row>
    <row r="179" spans="1:4" x14ac:dyDescent="0.25">
      <c r="A179" s="102" t="s">
        <v>381</v>
      </c>
      <c r="B179" s="102" t="s">
        <v>383</v>
      </c>
      <c r="C179" s="102" t="s">
        <v>705</v>
      </c>
      <c r="D179" s="102">
        <v>630</v>
      </c>
    </row>
    <row r="180" spans="1:4" x14ac:dyDescent="0.25">
      <c r="A180" s="102" t="s">
        <v>385</v>
      </c>
      <c r="B180" s="102" t="s">
        <v>387</v>
      </c>
      <c r="C180" s="102" t="s">
        <v>706</v>
      </c>
      <c r="D180" s="102">
        <v>634</v>
      </c>
    </row>
    <row r="181" spans="1:4" x14ac:dyDescent="0.25">
      <c r="A181" s="102" t="s">
        <v>807</v>
      </c>
      <c r="B181" s="102" t="s">
        <v>224</v>
      </c>
      <c r="C181" s="102" t="s">
        <v>707</v>
      </c>
      <c r="D181" s="102">
        <v>807</v>
      </c>
    </row>
    <row r="182" spans="1:4" x14ac:dyDescent="0.25">
      <c r="A182" s="102" t="s">
        <v>64</v>
      </c>
      <c r="B182" s="102" t="s">
        <v>63</v>
      </c>
      <c r="C182" s="102" t="s">
        <v>708</v>
      </c>
      <c r="D182" s="102">
        <v>642</v>
      </c>
    </row>
    <row r="183" spans="1:4" x14ac:dyDescent="0.25">
      <c r="A183" s="102" t="s">
        <v>96</v>
      </c>
      <c r="B183" s="102" t="s">
        <v>97</v>
      </c>
      <c r="C183" s="102" t="s">
        <v>709</v>
      </c>
      <c r="D183" s="102">
        <v>643</v>
      </c>
    </row>
    <row r="184" spans="1:4" x14ac:dyDescent="0.25">
      <c r="A184" s="102" t="s">
        <v>393</v>
      </c>
      <c r="B184" s="102" t="s">
        <v>394</v>
      </c>
      <c r="C184" s="102" t="s">
        <v>710</v>
      </c>
      <c r="D184" s="102">
        <v>646</v>
      </c>
    </row>
    <row r="185" spans="1:4" x14ac:dyDescent="0.25">
      <c r="A185" s="102" t="s">
        <v>389</v>
      </c>
      <c r="B185" s="102" t="s">
        <v>391</v>
      </c>
      <c r="C185" s="102" t="s">
        <v>711</v>
      </c>
      <c r="D185" s="102">
        <v>638</v>
      </c>
    </row>
    <row r="186" spans="1:4" x14ac:dyDescent="0.25">
      <c r="A186" s="102" t="s">
        <v>396</v>
      </c>
      <c r="B186" s="102" t="s">
        <v>398</v>
      </c>
      <c r="C186" s="102" t="s">
        <v>712</v>
      </c>
      <c r="D186" s="102">
        <v>652</v>
      </c>
    </row>
    <row r="187" spans="1:4" x14ac:dyDescent="0.25">
      <c r="A187" s="102" t="s">
        <v>400</v>
      </c>
      <c r="B187" s="102" t="s">
        <v>402</v>
      </c>
      <c r="C187" s="102" t="s">
        <v>713</v>
      </c>
      <c r="D187" s="102">
        <v>654</v>
      </c>
    </row>
    <row r="188" spans="1:4" x14ac:dyDescent="0.25">
      <c r="A188" s="102" t="s">
        <v>714</v>
      </c>
      <c r="B188" s="102" t="s">
        <v>406</v>
      </c>
      <c r="C188" s="102" t="s">
        <v>715</v>
      </c>
      <c r="D188" s="102">
        <v>659</v>
      </c>
    </row>
    <row r="189" spans="1:4" x14ac:dyDescent="0.25">
      <c r="A189" s="102" t="s">
        <v>408</v>
      </c>
      <c r="B189" s="102" t="s">
        <v>410</v>
      </c>
      <c r="C189" s="102" t="s">
        <v>716</v>
      </c>
      <c r="D189" s="102">
        <v>662</v>
      </c>
    </row>
    <row r="190" spans="1:4" x14ac:dyDescent="0.25">
      <c r="A190" s="102" t="s">
        <v>412</v>
      </c>
      <c r="B190" s="102" t="s">
        <v>414</v>
      </c>
      <c r="C190" s="102" t="s">
        <v>717</v>
      </c>
      <c r="D190" s="102">
        <v>663</v>
      </c>
    </row>
    <row r="191" spans="1:4" x14ac:dyDescent="0.25">
      <c r="A191" s="102" t="s">
        <v>416</v>
      </c>
      <c r="B191" s="102" t="s">
        <v>418</v>
      </c>
      <c r="C191" s="102" t="s">
        <v>718</v>
      </c>
      <c r="D191" s="102">
        <v>666</v>
      </c>
    </row>
    <row r="192" spans="1:4" x14ac:dyDescent="0.25">
      <c r="A192" s="102" t="s">
        <v>420</v>
      </c>
      <c r="B192" s="102" t="s">
        <v>422</v>
      </c>
      <c r="C192" s="102" t="s">
        <v>719</v>
      </c>
      <c r="D192" s="102">
        <v>670</v>
      </c>
    </row>
    <row r="193" spans="1:4" x14ac:dyDescent="0.25">
      <c r="A193" s="102" t="s">
        <v>424</v>
      </c>
      <c r="B193" s="102" t="s">
        <v>426</v>
      </c>
      <c r="C193" s="102" t="s">
        <v>720</v>
      </c>
      <c r="D193" s="102">
        <v>882</v>
      </c>
    </row>
    <row r="194" spans="1:4" x14ac:dyDescent="0.25">
      <c r="A194" s="102" t="s">
        <v>479</v>
      </c>
      <c r="B194" s="102" t="s">
        <v>721</v>
      </c>
      <c r="C194" s="102" t="s">
        <v>722</v>
      </c>
      <c r="D194" s="102">
        <v>674</v>
      </c>
    </row>
    <row r="195" spans="1:4" x14ac:dyDescent="0.25">
      <c r="A195" s="102" t="s">
        <v>723</v>
      </c>
      <c r="B195" s="102" t="s">
        <v>429</v>
      </c>
      <c r="C195" s="102" t="s">
        <v>724</v>
      </c>
      <c r="D195" s="102">
        <v>678</v>
      </c>
    </row>
    <row r="196" spans="1:4" x14ac:dyDescent="0.25">
      <c r="A196" s="102" t="s">
        <v>430</v>
      </c>
      <c r="B196" s="102" t="s">
        <v>432</v>
      </c>
      <c r="C196" s="102" t="s">
        <v>725</v>
      </c>
      <c r="D196" s="102">
        <v>682</v>
      </c>
    </row>
    <row r="197" spans="1:4" x14ac:dyDescent="0.25">
      <c r="A197" s="102" t="s">
        <v>433</v>
      </c>
      <c r="B197" s="102" t="s">
        <v>435</v>
      </c>
      <c r="C197" s="102" t="s">
        <v>726</v>
      </c>
      <c r="D197" s="102">
        <v>686</v>
      </c>
    </row>
    <row r="198" spans="1:4" x14ac:dyDescent="0.25">
      <c r="A198" s="102" t="s">
        <v>436</v>
      </c>
      <c r="B198" s="102" t="s">
        <v>438</v>
      </c>
      <c r="C198" s="102" t="s">
        <v>727</v>
      </c>
      <c r="D198" s="102">
        <v>688</v>
      </c>
    </row>
    <row r="199" spans="1:4" x14ac:dyDescent="0.25">
      <c r="A199" s="102" t="s">
        <v>439</v>
      </c>
      <c r="B199" s="102" t="s">
        <v>440</v>
      </c>
      <c r="C199" s="102" t="s">
        <v>728</v>
      </c>
      <c r="D199" s="102">
        <v>690</v>
      </c>
    </row>
    <row r="200" spans="1:4" x14ac:dyDescent="0.25">
      <c r="A200" s="102" t="s">
        <v>441</v>
      </c>
      <c r="B200" s="102" t="s">
        <v>443</v>
      </c>
      <c r="C200" s="102" t="s">
        <v>729</v>
      </c>
      <c r="D200" s="102">
        <v>694</v>
      </c>
    </row>
    <row r="201" spans="1:4" x14ac:dyDescent="0.25">
      <c r="A201" s="102" t="s">
        <v>98</v>
      </c>
      <c r="B201" s="102" t="s">
        <v>99</v>
      </c>
      <c r="C201" s="102" t="s">
        <v>730</v>
      </c>
      <c r="D201" s="102">
        <v>702</v>
      </c>
    </row>
    <row r="202" spans="1:4" x14ac:dyDescent="0.25">
      <c r="A202" s="102" t="s">
        <v>731</v>
      </c>
      <c r="B202" s="102" t="s">
        <v>732</v>
      </c>
      <c r="C202" s="102" t="s">
        <v>733</v>
      </c>
      <c r="D202" s="102">
        <v>534</v>
      </c>
    </row>
    <row r="203" spans="1:4" x14ac:dyDescent="0.25">
      <c r="A203" s="102" t="s">
        <v>66</v>
      </c>
      <c r="B203" s="102" t="s">
        <v>65</v>
      </c>
      <c r="C203" s="102" t="s">
        <v>734</v>
      </c>
      <c r="D203" s="102">
        <v>703</v>
      </c>
    </row>
    <row r="204" spans="1:4" x14ac:dyDescent="0.25">
      <c r="A204" s="102" t="s">
        <v>68</v>
      </c>
      <c r="B204" s="102" t="s">
        <v>67</v>
      </c>
      <c r="C204" s="102" t="s">
        <v>735</v>
      </c>
      <c r="D204" s="102">
        <v>705</v>
      </c>
    </row>
    <row r="205" spans="1:4" x14ac:dyDescent="0.25">
      <c r="A205" s="102" t="s">
        <v>444</v>
      </c>
      <c r="B205" s="102" t="s">
        <v>446</v>
      </c>
      <c r="C205" s="102" t="s">
        <v>736</v>
      </c>
      <c r="D205" s="102">
        <v>90</v>
      </c>
    </row>
    <row r="206" spans="1:4" x14ac:dyDescent="0.25">
      <c r="A206" s="102" t="s">
        <v>480</v>
      </c>
      <c r="B206" s="102" t="s">
        <v>493</v>
      </c>
      <c r="C206" s="102" t="s">
        <v>737</v>
      </c>
      <c r="D206" s="102">
        <v>706</v>
      </c>
    </row>
    <row r="207" spans="1:4" x14ac:dyDescent="0.25">
      <c r="A207" s="102" t="s">
        <v>448</v>
      </c>
      <c r="B207" s="102" t="s">
        <v>450</v>
      </c>
      <c r="C207" s="102" t="s">
        <v>738</v>
      </c>
      <c r="D207" s="102">
        <v>710</v>
      </c>
    </row>
    <row r="208" spans="1:4" x14ac:dyDescent="0.25">
      <c r="A208" s="102" t="s">
        <v>451</v>
      </c>
      <c r="B208" s="102" t="s">
        <v>452</v>
      </c>
      <c r="C208" s="102" t="s">
        <v>739</v>
      </c>
      <c r="D208" s="102">
        <v>239</v>
      </c>
    </row>
    <row r="209" spans="1:4" x14ac:dyDescent="0.25">
      <c r="A209" s="102" t="s">
        <v>740</v>
      </c>
      <c r="B209" s="102" t="s">
        <v>741</v>
      </c>
      <c r="C209" s="102" t="s">
        <v>742</v>
      </c>
      <c r="D209" s="102">
        <v>728</v>
      </c>
    </row>
    <row r="210" spans="1:4" x14ac:dyDescent="0.25">
      <c r="A210" s="102" t="s">
        <v>70</v>
      </c>
      <c r="B210" s="102" t="s">
        <v>69</v>
      </c>
      <c r="C210" s="102" t="s">
        <v>743</v>
      </c>
      <c r="D210" s="102">
        <v>724</v>
      </c>
    </row>
    <row r="211" spans="1:4" x14ac:dyDescent="0.25">
      <c r="A211" s="102" t="s">
        <v>454</v>
      </c>
      <c r="B211" s="102" t="s">
        <v>455</v>
      </c>
      <c r="C211" s="102" t="s">
        <v>744</v>
      </c>
      <c r="D211" s="102">
        <v>144</v>
      </c>
    </row>
    <row r="212" spans="1:4" x14ac:dyDescent="0.25">
      <c r="A212" s="102" t="s">
        <v>481</v>
      </c>
      <c r="B212" s="102" t="s">
        <v>745</v>
      </c>
      <c r="C212" s="102" t="s">
        <v>746</v>
      </c>
      <c r="D212" s="102">
        <v>729</v>
      </c>
    </row>
    <row r="213" spans="1:4" x14ac:dyDescent="0.25">
      <c r="A213" s="102" t="s">
        <v>341</v>
      </c>
      <c r="B213" s="102" t="s">
        <v>343</v>
      </c>
      <c r="C213" s="102" t="s">
        <v>747</v>
      </c>
      <c r="D213" s="102">
        <v>740</v>
      </c>
    </row>
    <row r="214" spans="1:4" x14ac:dyDescent="0.25">
      <c r="A214" s="102" t="s">
        <v>748</v>
      </c>
      <c r="B214" s="102" t="s">
        <v>346</v>
      </c>
      <c r="C214" s="102" t="s">
        <v>749</v>
      </c>
      <c r="D214" s="102">
        <v>744</v>
      </c>
    </row>
    <row r="215" spans="1:4" x14ac:dyDescent="0.25">
      <c r="A215" s="102" t="s">
        <v>72</v>
      </c>
      <c r="B215" s="102" t="s">
        <v>71</v>
      </c>
      <c r="C215" s="102" t="s">
        <v>750</v>
      </c>
      <c r="D215" s="102">
        <v>752</v>
      </c>
    </row>
    <row r="216" spans="1:4" x14ac:dyDescent="0.25">
      <c r="A216" s="102" t="s">
        <v>461</v>
      </c>
      <c r="B216" s="102" t="s">
        <v>73</v>
      </c>
      <c r="C216" s="102" t="s">
        <v>751</v>
      </c>
      <c r="D216" s="102">
        <v>756</v>
      </c>
    </row>
    <row r="217" spans="1:4" x14ac:dyDescent="0.25">
      <c r="A217" s="102" t="s">
        <v>752</v>
      </c>
      <c r="B217" s="102" t="s">
        <v>753</v>
      </c>
      <c r="C217" s="102" t="s">
        <v>754</v>
      </c>
      <c r="D217" s="102">
        <v>760</v>
      </c>
    </row>
    <row r="218" spans="1:4" x14ac:dyDescent="0.25">
      <c r="A218" s="102" t="s">
        <v>102</v>
      </c>
      <c r="B218" s="102" t="s">
        <v>103</v>
      </c>
      <c r="C218" s="102" t="s">
        <v>755</v>
      </c>
      <c r="D218" s="102">
        <v>158</v>
      </c>
    </row>
    <row r="219" spans="1:4" x14ac:dyDescent="0.25">
      <c r="A219" s="102" t="s">
        <v>354</v>
      </c>
      <c r="B219" s="102" t="s">
        <v>356</v>
      </c>
      <c r="C219" s="102" t="s">
        <v>756</v>
      </c>
      <c r="D219" s="102">
        <v>762</v>
      </c>
    </row>
    <row r="220" spans="1:4" x14ac:dyDescent="0.25">
      <c r="A220" s="102" t="s">
        <v>358</v>
      </c>
      <c r="B220" s="102" t="s">
        <v>360</v>
      </c>
      <c r="C220" s="102" t="s">
        <v>757</v>
      </c>
      <c r="D220" s="102">
        <v>834</v>
      </c>
    </row>
    <row r="221" spans="1:4" x14ac:dyDescent="0.25">
      <c r="A221" s="102" t="s">
        <v>362</v>
      </c>
      <c r="B221" s="102" t="s">
        <v>364</v>
      </c>
      <c r="C221" s="102" t="s">
        <v>758</v>
      </c>
      <c r="D221" s="102">
        <v>764</v>
      </c>
    </row>
    <row r="222" spans="1:4" x14ac:dyDescent="0.25">
      <c r="A222" s="102" t="s">
        <v>202</v>
      </c>
      <c r="B222" s="102" t="s">
        <v>204</v>
      </c>
      <c r="C222" s="102" t="s">
        <v>759</v>
      </c>
      <c r="D222" s="102">
        <v>626</v>
      </c>
    </row>
    <row r="223" spans="1:4" x14ac:dyDescent="0.25">
      <c r="A223" s="102" t="s">
        <v>366</v>
      </c>
      <c r="B223" s="102" t="s">
        <v>368</v>
      </c>
      <c r="C223" s="102" t="s">
        <v>760</v>
      </c>
      <c r="D223" s="102">
        <v>768</v>
      </c>
    </row>
    <row r="224" spans="1:4" x14ac:dyDescent="0.25">
      <c r="A224" s="102" t="s">
        <v>370</v>
      </c>
      <c r="B224" s="102" t="s">
        <v>372</v>
      </c>
      <c r="C224" s="102" t="s">
        <v>761</v>
      </c>
      <c r="D224" s="102">
        <v>772</v>
      </c>
    </row>
    <row r="225" spans="1:4" x14ac:dyDescent="0.25">
      <c r="A225" s="102" t="s">
        <v>374</v>
      </c>
      <c r="B225" s="102" t="s">
        <v>376</v>
      </c>
      <c r="C225" s="102" t="s">
        <v>762</v>
      </c>
      <c r="D225" s="102">
        <v>776</v>
      </c>
    </row>
    <row r="226" spans="1:4" x14ac:dyDescent="0.25">
      <c r="A226" s="102" t="s">
        <v>763</v>
      </c>
      <c r="B226" s="102" t="s">
        <v>380</v>
      </c>
      <c r="C226" s="102" t="s">
        <v>764</v>
      </c>
      <c r="D226" s="102">
        <v>780</v>
      </c>
    </row>
    <row r="227" spans="1:4" x14ac:dyDescent="0.25">
      <c r="A227" s="102" t="s">
        <v>382</v>
      </c>
      <c r="B227" s="102" t="s">
        <v>384</v>
      </c>
      <c r="C227" s="102" t="s">
        <v>765</v>
      </c>
      <c r="D227" s="102">
        <v>788</v>
      </c>
    </row>
    <row r="228" spans="1:4" x14ac:dyDescent="0.25">
      <c r="A228" s="102" t="s">
        <v>386</v>
      </c>
      <c r="B228" s="102" t="s">
        <v>388</v>
      </c>
      <c r="C228" s="102" t="s">
        <v>766</v>
      </c>
      <c r="D228" s="102">
        <v>792</v>
      </c>
    </row>
    <row r="229" spans="1:4" x14ac:dyDescent="0.25">
      <c r="A229" s="102" t="s">
        <v>390</v>
      </c>
      <c r="B229" s="102" t="s">
        <v>392</v>
      </c>
      <c r="C229" s="102" t="s">
        <v>767</v>
      </c>
      <c r="D229" s="102">
        <v>795</v>
      </c>
    </row>
    <row r="230" spans="1:4" x14ac:dyDescent="0.25">
      <c r="A230" s="102" t="s">
        <v>482</v>
      </c>
      <c r="B230" s="102" t="s">
        <v>395</v>
      </c>
      <c r="C230" s="102" t="s">
        <v>768</v>
      </c>
      <c r="D230" s="102">
        <v>796</v>
      </c>
    </row>
    <row r="231" spans="1:4" x14ac:dyDescent="0.25">
      <c r="A231" s="102" t="s">
        <v>397</v>
      </c>
      <c r="B231" s="102" t="s">
        <v>399</v>
      </c>
      <c r="C231" s="102" t="s">
        <v>769</v>
      </c>
      <c r="D231" s="102">
        <v>798</v>
      </c>
    </row>
    <row r="232" spans="1:4" x14ac:dyDescent="0.25">
      <c r="A232" s="102" t="s">
        <v>401</v>
      </c>
      <c r="B232" s="102" t="s">
        <v>403</v>
      </c>
      <c r="C232" s="102" t="s">
        <v>770</v>
      </c>
      <c r="D232" s="102">
        <v>800</v>
      </c>
    </row>
    <row r="233" spans="1:4" x14ac:dyDescent="0.25">
      <c r="A233" s="102" t="s">
        <v>405</v>
      </c>
      <c r="B233" s="102" t="s">
        <v>407</v>
      </c>
      <c r="C233" s="102" t="s">
        <v>771</v>
      </c>
      <c r="D233" s="102">
        <v>804</v>
      </c>
    </row>
    <row r="234" spans="1:4" x14ac:dyDescent="0.25">
      <c r="A234" s="102" t="s">
        <v>409</v>
      </c>
      <c r="B234" s="102" t="s">
        <v>411</v>
      </c>
      <c r="C234" s="102" t="s">
        <v>772</v>
      </c>
      <c r="D234" s="102">
        <v>784</v>
      </c>
    </row>
    <row r="235" spans="1:4" x14ac:dyDescent="0.25">
      <c r="A235" s="102" t="s">
        <v>804</v>
      </c>
      <c r="B235" s="102" t="s">
        <v>773</v>
      </c>
      <c r="C235" s="102" t="s">
        <v>774</v>
      </c>
      <c r="D235" s="102">
        <v>826</v>
      </c>
    </row>
    <row r="236" spans="1:4" x14ac:dyDescent="0.25">
      <c r="A236" s="102" t="s">
        <v>805</v>
      </c>
      <c r="B236" s="102" t="s">
        <v>775</v>
      </c>
      <c r="C236" s="102" t="s">
        <v>776</v>
      </c>
      <c r="D236" s="102">
        <v>581</v>
      </c>
    </row>
    <row r="237" spans="1:4" x14ac:dyDescent="0.25">
      <c r="A237" s="102" t="s">
        <v>104</v>
      </c>
      <c r="B237" s="102" t="s">
        <v>105</v>
      </c>
      <c r="C237" s="102" t="s">
        <v>777</v>
      </c>
      <c r="D237" s="102">
        <v>840</v>
      </c>
    </row>
    <row r="238" spans="1:4" x14ac:dyDescent="0.25">
      <c r="A238" s="102" t="s">
        <v>413</v>
      </c>
      <c r="B238" s="102" t="s">
        <v>415</v>
      </c>
      <c r="C238" s="102" t="s">
        <v>778</v>
      </c>
      <c r="D238" s="102">
        <v>858</v>
      </c>
    </row>
    <row r="239" spans="1:4" x14ac:dyDescent="0.25">
      <c r="A239" s="102" t="s">
        <v>417</v>
      </c>
      <c r="B239" s="102" t="s">
        <v>419</v>
      </c>
      <c r="C239" s="102" t="s">
        <v>779</v>
      </c>
      <c r="D239" s="102">
        <v>860</v>
      </c>
    </row>
    <row r="240" spans="1:4" x14ac:dyDescent="0.25">
      <c r="A240" s="102" t="s">
        <v>421</v>
      </c>
      <c r="B240" s="102" t="s">
        <v>423</v>
      </c>
      <c r="C240" s="102" t="s">
        <v>780</v>
      </c>
      <c r="D240" s="102">
        <v>548</v>
      </c>
    </row>
    <row r="241" spans="1:4" x14ac:dyDescent="0.25">
      <c r="A241" s="102" t="s">
        <v>428</v>
      </c>
      <c r="B241" s="102" t="s">
        <v>781</v>
      </c>
      <c r="C241" s="102" t="s">
        <v>782</v>
      </c>
      <c r="D241" s="102">
        <v>862</v>
      </c>
    </row>
    <row r="242" spans="1:4" x14ac:dyDescent="0.25">
      <c r="A242" s="102" t="s">
        <v>431</v>
      </c>
      <c r="B242" s="102" t="s">
        <v>783</v>
      </c>
      <c r="C242" s="102" t="s">
        <v>784</v>
      </c>
      <c r="D242" s="102">
        <v>704</v>
      </c>
    </row>
    <row r="243" spans="1:4" x14ac:dyDescent="0.25">
      <c r="A243" s="102" t="s">
        <v>437</v>
      </c>
      <c r="B243" s="102" t="s">
        <v>785</v>
      </c>
      <c r="C243" s="102" t="s">
        <v>786</v>
      </c>
      <c r="D243" s="102">
        <v>92</v>
      </c>
    </row>
    <row r="244" spans="1:4" x14ac:dyDescent="0.25">
      <c r="A244" s="102" t="s">
        <v>434</v>
      </c>
      <c r="B244" s="102" t="s">
        <v>787</v>
      </c>
      <c r="C244" s="102" t="s">
        <v>788</v>
      </c>
      <c r="D244" s="102">
        <v>850</v>
      </c>
    </row>
    <row r="245" spans="1:4" x14ac:dyDescent="0.25">
      <c r="A245" s="102" t="s">
        <v>789</v>
      </c>
      <c r="B245" s="102" t="s">
        <v>790</v>
      </c>
      <c r="C245" s="102" t="s">
        <v>791</v>
      </c>
      <c r="D245" s="102">
        <v>876</v>
      </c>
    </row>
    <row r="246" spans="1:4" x14ac:dyDescent="0.25">
      <c r="A246" s="102" t="s">
        <v>442</v>
      </c>
      <c r="B246" s="102" t="s">
        <v>792</v>
      </c>
      <c r="C246" s="102" t="s">
        <v>793</v>
      </c>
      <c r="D246" s="102">
        <v>732</v>
      </c>
    </row>
    <row r="247" spans="1:4" x14ac:dyDescent="0.25">
      <c r="A247" s="102" t="s">
        <v>445</v>
      </c>
      <c r="B247" s="102" t="s">
        <v>794</v>
      </c>
      <c r="C247" s="102" t="s">
        <v>795</v>
      </c>
      <c r="D247" s="102">
        <v>887</v>
      </c>
    </row>
    <row r="248" spans="1:4" x14ac:dyDescent="0.25">
      <c r="A248" s="102" t="s">
        <v>447</v>
      </c>
      <c r="B248" s="102" t="s">
        <v>796</v>
      </c>
      <c r="C248" s="102" t="s">
        <v>797</v>
      </c>
      <c r="D248" s="102">
        <v>894</v>
      </c>
    </row>
    <row r="249" spans="1:4" x14ac:dyDescent="0.25">
      <c r="A249" s="102" t="s">
        <v>449</v>
      </c>
      <c r="B249" s="102" t="s">
        <v>798</v>
      </c>
      <c r="C249" s="102" t="s">
        <v>799</v>
      </c>
      <c r="D249" s="102">
        <v>716</v>
      </c>
    </row>
    <row r="250" spans="1:4" x14ac:dyDescent="0.25">
      <c r="A250" s="102" t="s">
        <v>800</v>
      </c>
      <c r="B250" s="102" t="s">
        <v>801</v>
      </c>
      <c r="C250" s="102" t="s">
        <v>802</v>
      </c>
      <c r="D250" s="102">
        <v>248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Priority Manifest</vt:lpstr>
      <vt:lpstr>Non-Priority Manifest</vt:lpstr>
      <vt:lpstr>M-Bag Priority Manifest</vt:lpstr>
      <vt:lpstr>M-Bag Non-Priority Manifest</vt:lpstr>
      <vt:lpstr>Country Code LU</vt:lpstr>
      <vt:lpstr>COUNTRYLU</vt:lpstr>
      <vt:lpstr>'M-Bag Non-Priority Manifest'!Print_Area</vt:lpstr>
      <vt:lpstr>'M-Bag Priority Manifest'!Print_Area</vt:lpstr>
      <vt:lpstr>'Non-Priority Manifest'!Print_Area</vt:lpstr>
      <vt:lpstr>'Priority Manifest'!Print_Area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Dymek Julian, Asendia United Kingdom</dc:creator>
  <cp:lastModifiedBy>Finlay Crawley</cp:lastModifiedBy>
  <cp:lastPrinted>2025-08-13T10:28:01Z</cp:lastPrinted>
  <dcterms:created xsi:type="dcterms:W3CDTF">2018-11-27T17:43:13Z</dcterms:created>
  <dcterms:modified xsi:type="dcterms:W3CDTF">2025-12-22T13:49:36Z</dcterms:modified>
</cp:coreProperties>
</file>